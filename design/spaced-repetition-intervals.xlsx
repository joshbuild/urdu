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ock\dev\pers\urdu\design\"/>
    </mc:Choice>
  </mc:AlternateContent>
  <xr:revisionPtr revIDLastSave="0" documentId="13_ncr:1_{CC61EF1A-1FFD-476B-A720-41CCC4C8BB48}" xr6:coauthVersionLast="47" xr6:coauthVersionMax="47" xr10:uidLastSave="{00000000-0000-0000-0000-000000000000}"/>
  <bookViews>
    <workbookView xWindow="43080" yWindow="-5580" windowWidth="57840" windowHeight="31920" xr2:uid="{D2B346EC-B63E-440F-9661-4E6973648AE9}"/>
  </bookViews>
  <sheets>
    <sheet name="Sheet1" sheetId="1" r:id="rId1"/>
  </sheets>
  <definedNames>
    <definedName name="solver_adj" localSheetId="0" hidden="1">Sheet1!$B$7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Sheet1!$B$7</definedName>
    <definedName name="solver_lhs2" localSheetId="0" hidden="1">Sheet1!$B$7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Sheet1!$M$7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12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1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thresh">Sheet1!$B$2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" i="1" l="1"/>
  <c r="B78" i="1"/>
  <c r="B82" i="1" s="1"/>
  <c r="B83" i="1" s="1"/>
  <c r="B84" i="1" s="1"/>
  <c r="B85" i="1" s="1"/>
  <c r="B86" i="1" s="1"/>
  <c r="B87" i="1" s="1"/>
  <c r="B88" i="1" s="1"/>
  <c r="B89" i="1" s="1"/>
  <c r="B62" i="1"/>
  <c r="B66" i="1" s="1"/>
  <c r="B67" i="1" s="1"/>
  <c r="B68" i="1" s="1"/>
  <c r="B69" i="1" s="1"/>
  <c r="B70" i="1" s="1"/>
  <c r="B71" i="1" s="1"/>
  <c r="B72" i="1" s="1"/>
  <c r="B73" i="1" s="1"/>
  <c r="B26" i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5" i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8" i="1"/>
  <c r="C8" i="1" s="1"/>
  <c r="E8" i="1" s="1"/>
  <c r="C81" i="1"/>
  <c r="F81" i="1" s="1"/>
  <c r="C65" i="1"/>
  <c r="F65" i="1" s="1"/>
  <c r="C48" i="1"/>
  <c r="F48" i="1" s="1"/>
  <c r="C29" i="1"/>
  <c r="F29" i="1" s="1"/>
  <c r="C7" i="1"/>
  <c r="F7" i="1" s="1"/>
  <c r="P45" i="1" l="1"/>
  <c r="P62" i="1"/>
  <c r="P78" i="1"/>
  <c r="C73" i="1"/>
  <c r="E73" i="1" s="1"/>
  <c r="B74" i="1"/>
  <c r="C74" i="1" s="1"/>
  <c r="E74" i="1" s="1"/>
  <c r="P26" i="1"/>
  <c r="C83" i="1"/>
  <c r="C84" i="1"/>
  <c r="C82" i="1"/>
  <c r="E82" i="1" s="1"/>
  <c r="D84" i="1"/>
  <c r="F84" i="1"/>
  <c r="E84" i="1"/>
  <c r="E81" i="1"/>
  <c r="D81" i="1"/>
  <c r="C40" i="1"/>
  <c r="D40" i="1" s="1"/>
  <c r="B41" i="1"/>
  <c r="C67" i="1"/>
  <c r="E67" i="1" s="1"/>
  <c r="C50" i="1"/>
  <c r="C51" i="1"/>
  <c r="C66" i="1"/>
  <c r="D65" i="1"/>
  <c r="E65" i="1"/>
  <c r="C49" i="1"/>
  <c r="E48" i="1"/>
  <c r="D48" i="1"/>
  <c r="G48" i="1" s="1"/>
  <c r="C31" i="1"/>
  <c r="D29" i="1"/>
  <c r="C30" i="1"/>
  <c r="C32" i="1"/>
  <c r="E29" i="1"/>
  <c r="D7" i="1"/>
  <c r="D8" i="1"/>
  <c r="B9" i="1"/>
  <c r="F8" i="1"/>
  <c r="E7" i="1"/>
  <c r="D74" i="1" l="1"/>
  <c r="F73" i="1"/>
  <c r="D73" i="1"/>
  <c r="G73" i="1" s="1"/>
  <c r="H73" i="1" s="1" a="1"/>
  <c r="H73" i="1" s="1"/>
  <c r="I73" i="1" s="1" a="1"/>
  <c r="I73" i="1" s="1"/>
  <c r="F74" i="1"/>
  <c r="G74" i="1" s="1"/>
  <c r="G81" i="1"/>
  <c r="H81" i="1" s="1" a="1"/>
  <c r="H81" i="1" s="1"/>
  <c r="G65" i="1"/>
  <c r="J65" i="1" s="1" a="1"/>
  <c r="J65" i="1" s="1"/>
  <c r="F82" i="1"/>
  <c r="G29" i="1"/>
  <c r="H29" i="1" s="1" a="1"/>
  <c r="H29" i="1" s="1"/>
  <c r="D82" i="1"/>
  <c r="G82" i="1"/>
  <c r="H82" i="1" s="1" a="1"/>
  <c r="H82" i="1" s="1"/>
  <c r="I82" i="1" s="1" a="1"/>
  <c r="I82" i="1" s="1"/>
  <c r="G84" i="1"/>
  <c r="J84" i="1" s="1" a="1"/>
  <c r="J84" i="1" s="1"/>
  <c r="E83" i="1"/>
  <c r="F51" i="1"/>
  <c r="E50" i="1"/>
  <c r="D31" i="1"/>
  <c r="E40" i="1"/>
  <c r="F40" i="1"/>
  <c r="C41" i="1"/>
  <c r="G8" i="1"/>
  <c r="J8" i="1" s="1" a="1"/>
  <c r="J8" i="1" s="1"/>
  <c r="G7" i="1"/>
  <c r="J7" i="1" s="1" a="1"/>
  <c r="J7" i="1" s="1"/>
  <c r="C9" i="1"/>
  <c r="D9" i="1" s="1"/>
  <c r="F83" i="1"/>
  <c r="D83" i="1"/>
  <c r="C85" i="1"/>
  <c r="E51" i="1"/>
  <c r="D67" i="1"/>
  <c r="F67" i="1"/>
  <c r="D51" i="1"/>
  <c r="E31" i="1"/>
  <c r="F31" i="1"/>
  <c r="C69" i="1"/>
  <c r="C68" i="1"/>
  <c r="D50" i="1"/>
  <c r="F50" i="1"/>
  <c r="F66" i="1"/>
  <c r="E66" i="1"/>
  <c r="D66" i="1"/>
  <c r="G66" i="1" s="1"/>
  <c r="C70" i="1"/>
  <c r="J48" i="1" a="1"/>
  <c r="J48" i="1" s="1"/>
  <c r="H48" i="1" a="1"/>
  <c r="H48" i="1" s="1"/>
  <c r="C52" i="1"/>
  <c r="E49" i="1"/>
  <c r="F49" i="1"/>
  <c r="D49" i="1"/>
  <c r="E32" i="1"/>
  <c r="F32" i="1"/>
  <c r="D32" i="1"/>
  <c r="C33" i="1"/>
  <c r="F30" i="1"/>
  <c r="E30" i="1"/>
  <c r="D30" i="1"/>
  <c r="B10" i="1"/>
  <c r="G49" i="1" l="1"/>
  <c r="G67" i="1"/>
  <c r="G83" i="1"/>
  <c r="H83" i="1" s="1" a="1"/>
  <c r="H83" i="1" s="1"/>
  <c r="I83" i="1" s="1" a="1"/>
  <c r="I83" i="1" s="1"/>
  <c r="J81" i="1" a="1"/>
  <c r="J81" i="1" s="1"/>
  <c r="J73" i="1" a="1"/>
  <c r="J73" i="1" s="1"/>
  <c r="H74" i="1" a="1"/>
  <c r="H74" i="1" s="1"/>
  <c r="I74" i="1" s="1" a="1"/>
  <c r="I74" i="1" s="1"/>
  <c r="J74" i="1" a="1"/>
  <c r="J74" i="1" s="1"/>
  <c r="K74" i="1" s="1"/>
  <c r="L74" i="1" s="1"/>
  <c r="G40" i="1"/>
  <c r="J40" i="1" s="1" a="1"/>
  <c r="J40" i="1" s="1"/>
  <c r="I29" i="1" a="1"/>
  <c r="I29" i="1" s="1"/>
  <c r="I81" i="1" a="1"/>
  <c r="I81" i="1" s="1"/>
  <c r="K81" i="1" s="1"/>
  <c r="I48" i="1" a="1"/>
  <c r="I48" i="1" s="1"/>
  <c r="K48" i="1" s="1"/>
  <c r="K73" i="1"/>
  <c r="G32" i="1"/>
  <c r="J32" i="1" s="1" a="1"/>
  <c r="J32" i="1" s="1"/>
  <c r="J29" i="1" a="1"/>
  <c r="J29" i="1" s="1"/>
  <c r="K29" i="1" s="1"/>
  <c r="H84" i="1" a="1"/>
  <c r="H84" i="1" s="1"/>
  <c r="I84" i="1" s="1" a="1"/>
  <c r="I84" i="1" s="1"/>
  <c r="K84" i="1" s="1"/>
  <c r="J82" i="1" a="1"/>
  <c r="J82" i="1" s="1"/>
  <c r="K82" i="1" s="1"/>
  <c r="F69" i="1"/>
  <c r="D68" i="1"/>
  <c r="G50" i="1"/>
  <c r="H50" i="1" s="1" a="1"/>
  <c r="H50" i="1" s="1"/>
  <c r="I50" i="1" s="1" a="1"/>
  <c r="I50" i="1" s="1"/>
  <c r="G51" i="1"/>
  <c r="J51" i="1" s="1" a="1"/>
  <c r="J51" i="1" s="1"/>
  <c r="G31" i="1"/>
  <c r="H31" i="1" s="1" a="1"/>
  <c r="H31" i="1" s="1"/>
  <c r="I31" i="1" s="1" a="1"/>
  <c r="I31" i="1" s="1"/>
  <c r="G30" i="1"/>
  <c r="J30" i="1" s="1" a="1"/>
  <c r="J30" i="1" s="1"/>
  <c r="E41" i="1"/>
  <c r="F41" i="1"/>
  <c r="D41" i="1"/>
  <c r="H8" i="1" a="1"/>
  <c r="H8" i="1" s="1"/>
  <c r="I8" i="1" s="1" a="1"/>
  <c r="I8" i="1" s="1"/>
  <c r="K8" i="1" s="1"/>
  <c r="F9" i="1"/>
  <c r="E9" i="1"/>
  <c r="H7" i="1" a="1"/>
  <c r="H7" i="1" s="1"/>
  <c r="J83" i="1" a="1"/>
  <c r="J83" i="1" s="1"/>
  <c r="H67" i="1" a="1"/>
  <c r="H67" i="1" s="1"/>
  <c r="I67" i="1" s="1" a="1"/>
  <c r="I67" i="1" s="1"/>
  <c r="C86" i="1"/>
  <c r="F85" i="1"/>
  <c r="E85" i="1"/>
  <c r="D85" i="1"/>
  <c r="H49" i="1" a="1"/>
  <c r="H49" i="1" s="1"/>
  <c r="I49" i="1" s="1" a="1"/>
  <c r="I49" i="1" s="1"/>
  <c r="E68" i="1"/>
  <c r="J67" i="1" a="1"/>
  <c r="J67" i="1" s="1"/>
  <c r="F68" i="1"/>
  <c r="H66" i="1" a="1"/>
  <c r="H66" i="1" s="1"/>
  <c r="I66" i="1" s="1" a="1"/>
  <c r="I66" i="1" s="1"/>
  <c r="H65" i="1" a="1"/>
  <c r="H65" i="1" s="1"/>
  <c r="E69" i="1"/>
  <c r="D69" i="1"/>
  <c r="E70" i="1"/>
  <c r="D70" i="1"/>
  <c r="F70" i="1"/>
  <c r="C71" i="1"/>
  <c r="C53" i="1"/>
  <c r="F52" i="1"/>
  <c r="D52" i="1"/>
  <c r="E52" i="1"/>
  <c r="C34" i="1"/>
  <c r="F33" i="1"/>
  <c r="D33" i="1"/>
  <c r="E33" i="1"/>
  <c r="C10" i="1"/>
  <c r="B11" i="1"/>
  <c r="H40" i="1" l="1" a="1"/>
  <c r="H40" i="1" s="1"/>
  <c r="I40" i="1" s="1" a="1"/>
  <c r="I40" i="1" s="1"/>
  <c r="K40" i="1" s="1"/>
  <c r="I7" i="1" a="1"/>
  <c r="I7" i="1" s="1"/>
  <c r="K7" i="1" s="1"/>
  <c r="I65" i="1" a="1"/>
  <c r="I65" i="1" s="1"/>
  <c r="K65" i="1" s="1"/>
  <c r="G85" i="1"/>
  <c r="J85" i="1" s="1" a="1"/>
  <c r="J85" i="1" s="1"/>
  <c r="L82" i="1"/>
  <c r="G68" i="1"/>
  <c r="H68" i="1" s="1" a="1"/>
  <c r="H68" i="1" s="1"/>
  <c r="I68" i="1" s="1" a="1"/>
  <c r="I68" i="1" s="1"/>
  <c r="G69" i="1"/>
  <c r="H69" i="1" s="1" a="1"/>
  <c r="H69" i="1" s="1"/>
  <c r="I69" i="1" s="1" a="1"/>
  <c r="I69" i="1" s="1"/>
  <c r="J31" i="1" a="1"/>
  <c r="J31" i="1" s="1"/>
  <c r="K31" i="1" s="1"/>
  <c r="G70" i="1"/>
  <c r="J70" i="1" s="1" a="1"/>
  <c r="J70" i="1" s="1"/>
  <c r="K83" i="1"/>
  <c r="L84" i="1" s="1"/>
  <c r="L8" i="1"/>
  <c r="G52" i="1"/>
  <c r="H30" i="1" a="1"/>
  <c r="H30" i="1" s="1"/>
  <c r="G33" i="1"/>
  <c r="G41" i="1"/>
  <c r="H41" i="1" s="1" a="1"/>
  <c r="H41" i="1" s="1"/>
  <c r="I41" i="1" s="1" a="1"/>
  <c r="I41" i="1" s="1"/>
  <c r="G9" i="1"/>
  <c r="H9" i="1" s="1" a="1"/>
  <c r="H9" i="1" s="1"/>
  <c r="I9" i="1" s="1" a="1"/>
  <c r="I9" i="1" s="1"/>
  <c r="H32" i="1" a="1"/>
  <c r="H32" i="1" s="1"/>
  <c r="I32" i="1" s="1" a="1"/>
  <c r="I32" i="1" s="1"/>
  <c r="K32" i="1" s="1"/>
  <c r="K67" i="1"/>
  <c r="H51" i="1" a="1"/>
  <c r="H51" i="1" s="1"/>
  <c r="I51" i="1" s="1" a="1"/>
  <c r="I51" i="1" s="1"/>
  <c r="K51" i="1" s="1"/>
  <c r="J49" i="1" a="1"/>
  <c r="J49" i="1" s="1"/>
  <c r="K49" i="1" s="1"/>
  <c r="L49" i="1" s="1"/>
  <c r="C87" i="1"/>
  <c r="E86" i="1"/>
  <c r="D86" i="1"/>
  <c r="F86" i="1"/>
  <c r="J66" i="1" a="1"/>
  <c r="J66" i="1" s="1"/>
  <c r="K66" i="1" s="1"/>
  <c r="J50" i="1" a="1"/>
  <c r="J50" i="1" s="1"/>
  <c r="K50" i="1" s="1"/>
  <c r="C72" i="1"/>
  <c r="F71" i="1"/>
  <c r="E71" i="1"/>
  <c r="D71" i="1"/>
  <c r="G71" i="1" s="1"/>
  <c r="E53" i="1"/>
  <c r="D53" i="1"/>
  <c r="F53" i="1"/>
  <c r="C54" i="1"/>
  <c r="C35" i="1"/>
  <c r="E34" i="1"/>
  <c r="D34" i="1"/>
  <c r="F34" i="1"/>
  <c r="B12" i="1"/>
  <c r="C11" i="1"/>
  <c r="D10" i="1"/>
  <c r="E10" i="1"/>
  <c r="F10" i="1"/>
  <c r="H85" i="1" l="1" a="1"/>
  <c r="H85" i="1" s="1"/>
  <c r="I85" i="1" s="1" a="1"/>
  <c r="I85" i="1" s="1"/>
  <c r="K85" i="1" s="1"/>
  <c r="L85" i="1" s="1"/>
  <c r="L32" i="1"/>
  <c r="L83" i="1"/>
  <c r="L66" i="1"/>
  <c r="I30" i="1" a="1"/>
  <c r="I30" i="1" s="1"/>
  <c r="K30" i="1" s="1"/>
  <c r="L30" i="1" s="1"/>
  <c r="G86" i="1"/>
  <c r="H86" i="1" s="1" a="1"/>
  <c r="H86" i="1" s="1"/>
  <c r="I86" i="1" s="1" a="1"/>
  <c r="I86" i="1" s="1"/>
  <c r="G53" i="1"/>
  <c r="H53" i="1" s="1" a="1"/>
  <c r="H53" i="1" s="1"/>
  <c r="I53" i="1" s="1" a="1"/>
  <c r="I53" i="1" s="1"/>
  <c r="J41" i="1" a="1"/>
  <c r="J41" i="1" s="1"/>
  <c r="K41" i="1" s="1"/>
  <c r="L41" i="1" s="1"/>
  <c r="G34" i="1"/>
  <c r="J9" i="1" a="1"/>
  <c r="J9" i="1" s="1"/>
  <c r="K9" i="1" s="1"/>
  <c r="L9" i="1" s="1"/>
  <c r="G10" i="1"/>
  <c r="J10" i="1" s="1" a="1"/>
  <c r="J10" i="1" s="1"/>
  <c r="J68" i="1" a="1"/>
  <c r="J68" i="1" s="1"/>
  <c r="K68" i="1" s="1"/>
  <c r="L68" i="1" s="1"/>
  <c r="L51" i="1"/>
  <c r="J69" i="1" a="1"/>
  <c r="J69" i="1" s="1"/>
  <c r="K69" i="1" s="1"/>
  <c r="C88" i="1"/>
  <c r="F87" i="1"/>
  <c r="E87" i="1"/>
  <c r="D87" i="1"/>
  <c r="H71" i="1" a="1"/>
  <c r="H71" i="1" s="1"/>
  <c r="I71" i="1" s="1" a="1"/>
  <c r="I71" i="1" s="1"/>
  <c r="H70" i="1" a="1"/>
  <c r="H70" i="1" s="1"/>
  <c r="I70" i="1" s="1" a="1"/>
  <c r="I70" i="1" s="1"/>
  <c r="K70" i="1" s="1"/>
  <c r="L67" i="1"/>
  <c r="E72" i="1"/>
  <c r="D72" i="1"/>
  <c r="F72" i="1"/>
  <c r="F54" i="1"/>
  <c r="E54" i="1"/>
  <c r="D54" i="1"/>
  <c r="G54" i="1" s="1"/>
  <c r="H52" i="1" a="1"/>
  <c r="H52" i="1" s="1"/>
  <c r="I52" i="1" s="1" a="1"/>
  <c r="I52" i="1" s="1"/>
  <c r="J52" i="1" a="1"/>
  <c r="J52" i="1" s="1"/>
  <c r="C55" i="1"/>
  <c r="L50" i="1"/>
  <c r="C36" i="1"/>
  <c r="E35" i="1"/>
  <c r="D35" i="1"/>
  <c r="F35" i="1"/>
  <c r="J33" i="1" a="1"/>
  <c r="J33" i="1" s="1"/>
  <c r="H33" i="1" a="1"/>
  <c r="H33" i="1" s="1"/>
  <c r="I33" i="1" s="1" a="1"/>
  <c r="I33" i="1" s="1"/>
  <c r="D11" i="1"/>
  <c r="E11" i="1"/>
  <c r="F11" i="1"/>
  <c r="B13" i="1"/>
  <c r="C12" i="1"/>
  <c r="G87" i="1" l="1"/>
  <c r="L31" i="1"/>
  <c r="J86" i="1" a="1"/>
  <c r="J86" i="1" s="1"/>
  <c r="K86" i="1" s="1"/>
  <c r="L86" i="1" s="1"/>
  <c r="G72" i="1"/>
  <c r="J72" i="1" s="1" a="1"/>
  <c r="J72" i="1" s="1"/>
  <c r="G35" i="1"/>
  <c r="J35" i="1" s="1" a="1"/>
  <c r="J35" i="1" s="1"/>
  <c r="G11" i="1"/>
  <c r="J11" i="1" s="1" a="1"/>
  <c r="J11" i="1" s="1"/>
  <c r="J71" i="1" a="1"/>
  <c r="J71" i="1" s="1"/>
  <c r="K71" i="1" s="1"/>
  <c r="L71" i="1" s="1"/>
  <c r="J87" i="1" a="1"/>
  <c r="J87" i="1" s="1"/>
  <c r="H87" i="1" a="1"/>
  <c r="H87" i="1" s="1"/>
  <c r="I87" i="1" s="1" a="1"/>
  <c r="I87" i="1" s="1"/>
  <c r="C89" i="1"/>
  <c r="E88" i="1"/>
  <c r="D88" i="1"/>
  <c r="F88" i="1"/>
  <c r="J53" i="1" a="1"/>
  <c r="J53" i="1" s="1"/>
  <c r="K53" i="1" s="1"/>
  <c r="H54" i="1" a="1"/>
  <c r="H54" i="1" s="1"/>
  <c r="I54" i="1" s="1" a="1"/>
  <c r="I54" i="1" s="1"/>
  <c r="H10" i="1" a="1"/>
  <c r="H10" i="1" s="1"/>
  <c r="L69" i="1"/>
  <c r="L70" i="1"/>
  <c r="K52" i="1"/>
  <c r="L52" i="1" s="1"/>
  <c r="E55" i="1"/>
  <c r="D55" i="1"/>
  <c r="F55" i="1"/>
  <c r="C56" i="1"/>
  <c r="K33" i="1"/>
  <c r="L33" i="1" s="1"/>
  <c r="C37" i="1"/>
  <c r="E36" i="1"/>
  <c r="D36" i="1"/>
  <c r="F36" i="1"/>
  <c r="J34" i="1" a="1"/>
  <c r="J34" i="1" s="1"/>
  <c r="H34" i="1" a="1"/>
  <c r="H34" i="1" s="1"/>
  <c r="I34" i="1" s="1" a="1"/>
  <c r="I34" i="1" s="1"/>
  <c r="D12" i="1"/>
  <c r="F12" i="1"/>
  <c r="E12" i="1"/>
  <c r="C13" i="1"/>
  <c r="B14" i="1"/>
  <c r="I10" i="1" l="1" a="1"/>
  <c r="I10" i="1" s="1"/>
  <c r="K10" i="1" s="1"/>
  <c r="L10" i="1" s="1"/>
  <c r="G88" i="1"/>
  <c r="H35" i="1" a="1"/>
  <c r="H35" i="1" s="1"/>
  <c r="I35" i="1" s="1" a="1"/>
  <c r="I35" i="1" s="1"/>
  <c r="K35" i="1" s="1"/>
  <c r="G55" i="1"/>
  <c r="J55" i="1" s="1" a="1"/>
  <c r="J55" i="1" s="1"/>
  <c r="G36" i="1"/>
  <c r="G12" i="1"/>
  <c r="J12" i="1" s="1" a="1"/>
  <c r="J12" i="1" s="1"/>
  <c r="J54" i="1" a="1"/>
  <c r="J54" i="1" s="1"/>
  <c r="K54" i="1" s="1"/>
  <c r="L54" i="1" s="1"/>
  <c r="K87" i="1"/>
  <c r="L87" i="1" s="1"/>
  <c r="E89" i="1"/>
  <c r="D89" i="1"/>
  <c r="F89" i="1"/>
  <c r="H11" i="1" a="1"/>
  <c r="H11" i="1" s="1"/>
  <c r="I11" i="1" s="1" a="1"/>
  <c r="I11" i="1" s="1"/>
  <c r="K11" i="1" s="1"/>
  <c r="H72" i="1" a="1"/>
  <c r="H72" i="1" s="1"/>
  <c r="P64" i="1" s="1" a="1"/>
  <c r="P64" i="1" s="1"/>
  <c r="L53" i="1"/>
  <c r="C57" i="1"/>
  <c r="E56" i="1"/>
  <c r="F56" i="1"/>
  <c r="D56" i="1"/>
  <c r="K34" i="1"/>
  <c r="L34" i="1" s="1"/>
  <c r="C38" i="1"/>
  <c r="E37" i="1"/>
  <c r="D37" i="1"/>
  <c r="F37" i="1"/>
  <c r="B15" i="1"/>
  <c r="C14" i="1"/>
  <c r="D13" i="1"/>
  <c r="E13" i="1"/>
  <c r="F13" i="1"/>
  <c r="L11" i="1" l="1"/>
  <c r="I72" i="1" a="1"/>
  <c r="I72" i="1" s="1"/>
  <c r="K72" i="1" s="1"/>
  <c r="L73" i="1" s="1"/>
  <c r="G56" i="1"/>
  <c r="G89" i="1"/>
  <c r="J89" i="1" s="1" a="1"/>
  <c r="J89" i="1" s="1"/>
  <c r="H55" i="1" a="1"/>
  <c r="H55" i="1" s="1"/>
  <c r="I55" i="1" s="1" a="1"/>
  <c r="I55" i="1" s="1"/>
  <c r="K55" i="1" s="1"/>
  <c r="L55" i="1" s="1"/>
  <c r="G37" i="1"/>
  <c r="J37" i="1" s="1" a="1"/>
  <c r="J37" i="1" s="1"/>
  <c r="G13" i="1"/>
  <c r="J13" i="1" s="1" a="1"/>
  <c r="J13" i="1" s="1"/>
  <c r="J88" i="1" a="1"/>
  <c r="J88" i="1" s="1"/>
  <c r="H88" i="1" a="1"/>
  <c r="H88" i="1" s="1"/>
  <c r="I88" i="1" s="1" a="1"/>
  <c r="I88" i="1" s="1"/>
  <c r="H56" i="1" a="1"/>
  <c r="H56" i="1" s="1"/>
  <c r="I56" i="1" s="1" a="1"/>
  <c r="I56" i="1" s="1"/>
  <c r="J56" i="1" a="1"/>
  <c r="J56" i="1" s="1"/>
  <c r="D57" i="1"/>
  <c r="F57" i="1"/>
  <c r="E57" i="1"/>
  <c r="C58" i="1"/>
  <c r="L35" i="1"/>
  <c r="C39" i="1"/>
  <c r="D38" i="1"/>
  <c r="F38" i="1"/>
  <c r="E38" i="1"/>
  <c r="J36" i="1" a="1"/>
  <c r="J36" i="1" s="1"/>
  <c r="H36" i="1" a="1"/>
  <c r="H36" i="1" s="1"/>
  <c r="I36" i="1" s="1" a="1"/>
  <c r="I36" i="1" s="1"/>
  <c r="H12" i="1" a="1"/>
  <c r="H12" i="1" s="1"/>
  <c r="I12" i="1" s="1" a="1"/>
  <c r="I12" i="1" s="1"/>
  <c r="K12" i="1" s="1"/>
  <c r="L12" i="1" s="1"/>
  <c r="D14" i="1"/>
  <c r="F14" i="1"/>
  <c r="E14" i="1"/>
  <c r="C15" i="1"/>
  <c r="B16" i="1"/>
  <c r="L72" i="1" l="1"/>
  <c r="M67" i="1" s="1"/>
  <c r="H89" i="1" a="1"/>
  <c r="H89" i="1" s="1"/>
  <c r="P80" i="1" s="1" a="1"/>
  <c r="P80" i="1" s="1"/>
  <c r="H37" i="1" a="1"/>
  <c r="H37" i="1" s="1"/>
  <c r="I37" i="1" s="1" a="1"/>
  <c r="I37" i="1" s="1"/>
  <c r="K37" i="1" s="1"/>
  <c r="G57" i="1"/>
  <c r="J57" i="1" s="1" a="1"/>
  <c r="J57" i="1" s="1"/>
  <c r="G38" i="1"/>
  <c r="M66" i="1"/>
  <c r="M65" i="1" s="1"/>
  <c r="G14" i="1"/>
  <c r="K88" i="1"/>
  <c r="L88" i="1" s="1"/>
  <c r="K56" i="1"/>
  <c r="L56" i="1" s="1"/>
  <c r="F58" i="1"/>
  <c r="E58" i="1"/>
  <c r="D58" i="1"/>
  <c r="G58" i="1" s="1"/>
  <c r="H13" i="1" a="1"/>
  <c r="H13" i="1" s="1"/>
  <c r="I13" i="1" s="1" a="1"/>
  <c r="I13" i="1" s="1"/>
  <c r="K13" i="1" s="1"/>
  <c r="L13" i="1" s="1"/>
  <c r="K36" i="1"/>
  <c r="L36" i="1" s="1"/>
  <c r="F39" i="1"/>
  <c r="E39" i="1"/>
  <c r="D39" i="1"/>
  <c r="B17" i="1"/>
  <c r="C16" i="1"/>
  <c r="D15" i="1"/>
  <c r="E15" i="1"/>
  <c r="F15" i="1"/>
  <c r="I89" i="1" l="1" a="1"/>
  <c r="I89" i="1" s="1"/>
  <c r="K89" i="1" s="1"/>
  <c r="L89" i="1" s="1"/>
  <c r="H57" i="1" a="1"/>
  <c r="H57" i="1" s="1"/>
  <c r="I57" i="1" s="1" a="1"/>
  <c r="I57" i="1" s="1"/>
  <c r="K57" i="1" s="1"/>
  <c r="L57" i="1" s="1"/>
  <c r="G39" i="1"/>
  <c r="J39" i="1" s="1" a="1"/>
  <c r="J39" i="1" s="1"/>
  <c r="B18" i="1"/>
  <c r="C18" i="1" s="1"/>
  <c r="G15" i="1"/>
  <c r="J15" i="1" s="1" a="1"/>
  <c r="J15" i="1" s="1"/>
  <c r="H58" i="1" a="1"/>
  <c r="H58" i="1" s="1"/>
  <c r="J58" i="1" a="1"/>
  <c r="J58" i="1" s="1"/>
  <c r="H38" i="1" a="1"/>
  <c r="H38" i="1" s="1"/>
  <c r="I38" i="1" s="1" a="1"/>
  <c r="I38" i="1" s="1"/>
  <c r="J38" i="1" a="1"/>
  <c r="J38" i="1" s="1"/>
  <c r="L37" i="1"/>
  <c r="J14" i="1" a="1"/>
  <c r="J14" i="1" s="1"/>
  <c r="H14" i="1" a="1"/>
  <c r="H14" i="1" s="1"/>
  <c r="I14" i="1" s="1" a="1"/>
  <c r="I14" i="1" s="1"/>
  <c r="D16" i="1"/>
  <c r="E16" i="1"/>
  <c r="F16" i="1"/>
  <c r="C17" i="1"/>
  <c r="P47" i="1" l="1" a="1"/>
  <c r="P47" i="1" s="1"/>
  <c r="M82" i="1"/>
  <c r="M83" i="1"/>
  <c r="I58" i="1" a="1"/>
  <c r="I58" i="1" s="1"/>
  <c r="K58" i="1" s="1"/>
  <c r="L58" i="1" s="1"/>
  <c r="H39" i="1" a="1"/>
  <c r="H39" i="1" s="1"/>
  <c r="P28" i="1" s="1" a="1"/>
  <c r="P28" i="1" s="1"/>
  <c r="B19" i="1"/>
  <c r="B20" i="1" s="1"/>
  <c r="B21" i="1" s="1"/>
  <c r="G16" i="1"/>
  <c r="J16" i="1" s="1" a="1"/>
  <c r="J16" i="1" s="1"/>
  <c r="E18" i="1"/>
  <c r="F18" i="1"/>
  <c r="D18" i="1"/>
  <c r="K38" i="1"/>
  <c r="L38" i="1" s="1"/>
  <c r="H15" i="1" a="1"/>
  <c r="H15" i="1" s="1"/>
  <c r="I15" i="1" s="1" a="1"/>
  <c r="I15" i="1" s="1"/>
  <c r="K15" i="1" s="1"/>
  <c r="K14" i="1"/>
  <c r="L14" i="1" s="1"/>
  <c r="D17" i="1"/>
  <c r="E17" i="1"/>
  <c r="F17" i="1"/>
  <c r="M81" i="1" l="1"/>
  <c r="I39" i="1" a="1"/>
  <c r="I39" i="1" s="1"/>
  <c r="K39" i="1" s="1"/>
  <c r="L40" i="1" s="1"/>
  <c r="C19" i="1"/>
  <c r="E19" i="1" s="1"/>
  <c r="G18" i="1"/>
  <c r="C20" i="1"/>
  <c r="F20" i="1" s="1"/>
  <c r="G17" i="1"/>
  <c r="J17" i="1" s="1" a="1"/>
  <c r="J17" i="1" s="1"/>
  <c r="M50" i="1"/>
  <c r="M49" i="1"/>
  <c r="C21" i="1"/>
  <c r="D21" i="1" s="1"/>
  <c r="B22" i="1"/>
  <c r="H16" i="1" a="1"/>
  <c r="H16" i="1" s="1"/>
  <c r="I16" i="1" s="1" a="1"/>
  <c r="I16" i="1" s="1"/>
  <c r="K16" i="1" s="1"/>
  <c r="L16" i="1" s="1"/>
  <c r="L15" i="1"/>
  <c r="L39" i="1" l="1"/>
  <c r="D20" i="1"/>
  <c r="D19" i="1"/>
  <c r="F19" i="1"/>
  <c r="E20" i="1"/>
  <c r="M48" i="1"/>
  <c r="E21" i="1"/>
  <c r="F21" i="1"/>
  <c r="G21" i="1"/>
  <c r="J21" i="1" s="1" a="1"/>
  <c r="J21" i="1" s="1"/>
  <c r="C22" i="1"/>
  <c r="J18" i="1" a="1"/>
  <c r="J18" i="1" s="1"/>
  <c r="H18" i="1" a="1"/>
  <c r="H18" i="1" s="1"/>
  <c r="I18" i="1" s="1" a="1"/>
  <c r="I18" i="1" s="1"/>
  <c r="H17" i="1" a="1"/>
  <c r="H17" i="1" s="1"/>
  <c r="I17" i="1" s="1" a="1"/>
  <c r="I17" i="1" s="1"/>
  <c r="K17" i="1" s="1"/>
  <c r="L17" i="1" s="1"/>
  <c r="M31" i="1" l="1"/>
  <c r="M30" i="1"/>
  <c r="G19" i="1"/>
  <c r="H19" i="1" s="1" a="1"/>
  <c r="H19" i="1" s="1"/>
  <c r="I19" i="1" s="1" a="1"/>
  <c r="I19" i="1" s="1"/>
  <c r="G20" i="1"/>
  <c r="J20" i="1" s="1" a="1"/>
  <c r="J20" i="1" s="1"/>
  <c r="H21" i="1" a="1"/>
  <c r="H21" i="1" s="1"/>
  <c r="I21" i="1" s="1" a="1"/>
  <c r="I21" i="1" s="1"/>
  <c r="K21" i="1" s="1"/>
  <c r="E22" i="1"/>
  <c r="F22" i="1"/>
  <c r="D22" i="1"/>
  <c r="K18" i="1"/>
  <c r="L18" i="1" s="1"/>
  <c r="M29" i="1" l="1"/>
  <c r="J19" i="1" a="1"/>
  <c r="J19" i="1" s="1"/>
  <c r="K19" i="1" s="1"/>
  <c r="L19" i="1" s="1"/>
  <c r="H20" i="1" a="1"/>
  <c r="H20" i="1" s="1"/>
  <c r="I20" i="1" s="1" a="1"/>
  <c r="I20" i="1" s="1"/>
  <c r="K20" i="1" s="1"/>
  <c r="G22" i="1"/>
  <c r="J22" i="1" s="1" a="1"/>
  <c r="J22" i="1" s="1"/>
  <c r="L20" i="1" l="1"/>
  <c r="L21" i="1"/>
  <c r="H22" i="1" a="1"/>
  <c r="H22" i="1" s="1"/>
  <c r="I22" i="1" l="1" a="1"/>
  <c r="I22" i="1" s="1"/>
  <c r="K22" i="1" s="1"/>
  <c r="L22" i="1" s="1"/>
  <c r="M9" i="1" s="1"/>
  <c r="P6" i="1" a="1"/>
  <c r="P6" i="1" s="1"/>
  <c r="M8" i="1" l="1"/>
  <c r="M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<sst xmlns="http://schemas.openxmlformats.org/spreadsheetml/2006/main" count="76" uniqueCount="19">
  <si>
    <t>h</t>
  </si>
  <si>
    <t>m</t>
  </si>
  <si>
    <t>d</t>
  </si>
  <si>
    <t>w</t>
  </si>
  <si>
    <t>y</t>
  </si>
  <si>
    <t>mult</t>
  </si>
  <si>
    <t>level</t>
  </si>
  <si>
    <t>display</t>
  </si>
  <si>
    <t>n</t>
  </si>
  <si>
    <t>d/n</t>
  </si>
  <si>
    <t>actual mult</t>
  </si>
  <si>
    <t>thresh</t>
  </si>
  <si>
    <t>multiplier</t>
  </si>
  <si>
    <t>intervals list</t>
  </si>
  <si>
    <t>=2^2</t>
  </si>
  <si>
    <t>=2^1.75</t>
  </si>
  <si>
    <t>=2^1.5</t>
  </si>
  <si>
    <t>=2^1.25</t>
  </si>
  <si>
    <t>=2^1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</si>
</sst>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8" formatCode="0.0;\-0.0;\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68" fontId="0" fillId="0" borderId="0" xfId="0" applyNumberFormat="1"/>
    <xf numFmtId="0" fontId="0" fillId="2" borderId="0" xfId="0" applyFill="1"/>
    <xf numFmtId="2" fontId="1" fillId="0" borderId="0" xfId="0" applyNumberFormat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F549-7E7F-459F-8271-C07AB05E01EA}">
  <dimension ref="A2:P89"/>
  <sheetViews>
    <sheetView tabSelected="1" workbookViewId="0">
      <selection activeCell="L23" sqref="L23"/>
    </sheetView>
  </sheetViews>
  <sheetFormatPr defaultRowHeight="14.4" x14ac:dyDescent="0.3"/>
  <cols>
    <col min="3" max="4" width="9.5546875" bestFit="1" customWidth="1"/>
    <col min="5" max="6" width="9" bestFit="1" customWidth="1"/>
    <col min="8" max="8" width="10.5546875" bestFit="1" customWidth="1"/>
    <col min="12" max="12" width="10.6640625" bestFit="1" customWidth="1"/>
    <col min="13" max="13" width="13.6640625" customWidth="1"/>
    <col min="15" max="15" width="11.33203125" bestFit="1" customWidth="1"/>
  </cols>
  <sheetData>
    <row r="2" spans="1:16" x14ac:dyDescent="0.3">
      <c r="A2" t="s">
        <v>11</v>
      </c>
      <c r="B2">
        <v>0.7</v>
      </c>
    </row>
    <row r="4" spans="1:16" x14ac:dyDescent="0.3">
      <c r="A4" t="s">
        <v>5</v>
      </c>
      <c r="B4">
        <v>2</v>
      </c>
      <c r="O4" t="s">
        <v>12</v>
      </c>
      <c r="P4">
        <f>B4</f>
        <v>2</v>
      </c>
    </row>
    <row r="5" spans="1:16" x14ac:dyDescent="0.3">
      <c r="P5" s="5" t="s">
        <v>18</v>
      </c>
    </row>
    <row r="6" spans="1:16" x14ac:dyDescent="0.3">
      <c r="B6" t="s">
        <v>0</v>
      </c>
      <c r="C6" t="s">
        <v>2</v>
      </c>
      <c r="D6" t="s">
        <v>3</v>
      </c>
      <c r="E6" t="s">
        <v>1</v>
      </c>
      <c r="F6" t="s">
        <v>4</v>
      </c>
      <c r="G6" t="s">
        <v>6</v>
      </c>
      <c r="H6" t="s">
        <v>7</v>
      </c>
      <c r="I6" t="s">
        <v>8</v>
      </c>
      <c r="J6" t="s">
        <v>9</v>
      </c>
      <c r="K6" t="s">
        <v>2</v>
      </c>
      <c r="L6" t="s">
        <v>10</v>
      </c>
      <c r="O6" t="s">
        <v>13</v>
      </c>
      <c r="P6" s="1" t="str" cm="1">
        <f t="array" ref="P6:P21">H7:H22</f>
        <v>3 h</v>
      </c>
    </row>
    <row r="7" spans="1:16" x14ac:dyDescent="0.3">
      <c r="B7" s="3">
        <v>3</v>
      </c>
      <c r="C7" s="2">
        <f>B7 / 24</f>
        <v>0.125</v>
      </c>
      <c r="D7" s="2">
        <f>C7 / 7</f>
        <v>1.7857142857142856E-2</v>
      </c>
      <c r="E7" s="2">
        <f>C7 / (365/12)</f>
        <v>4.10958904109589E-3</v>
      </c>
      <c r="F7" s="2">
        <f>C7 / 365</f>
        <v>3.4246575342465754E-4</v>
      </c>
      <c r="G7">
        <f>_xlfn.LET( _xlpm.val, _xlfn.MINIFS(B7:F7, B7:F7, "&gt;=" &amp; thresh), MATCH( _xlpm.val, B7:F7, 0 ) )</f>
        <v>1</v>
      </c>
      <c r="H7" s="1" t="str" cm="1">
        <f t="array" ref="H7">TEXT( INDEX(B7:F7, $G7), "0") &amp; " " &amp; INDEX(B$6:F$6, $G7)</f>
        <v>3 h</v>
      </c>
      <c r="I7" cm="1">
        <f t="array" ref="I7">_xlfn.LET( _xlpm.n, _xlfn.NUMBERVALUE( INDEX( _xlfn.TEXTSPLIT( H7, " " ), 1 )), _xlpm.n )</f>
        <v>3</v>
      </c>
      <c r="J7" cm="1">
        <f t="array" ref="J7">INDEX( {0.041667,1,7,30.417,365}, $G7)</f>
        <v>4.1667000000000003E-2</v>
      </c>
      <c r="K7">
        <f>J7 * I7</f>
        <v>0.125001</v>
      </c>
      <c r="L7" s="1"/>
      <c r="M7" s="4">
        <f>(M9/M8)</f>
        <v>3</v>
      </c>
      <c r="P7" t="str">
        <v>6 h</v>
      </c>
    </row>
    <row r="8" spans="1:16" x14ac:dyDescent="0.3">
      <c r="B8">
        <f>B7*B$4</f>
        <v>6</v>
      </c>
      <c r="C8" s="2">
        <f t="shared" ref="C8:C22" si="0">B8 / 24</f>
        <v>0.25</v>
      </c>
      <c r="D8" s="2">
        <f t="shared" ref="D8:D22" si="1">C8 / 7</f>
        <v>3.5714285714285712E-2</v>
      </c>
      <c r="E8" s="2">
        <f t="shared" ref="E8:E17" si="2">C8 / (365/12)</f>
        <v>8.21917808219178E-3</v>
      </c>
      <c r="F8" s="2">
        <f t="shared" ref="F8:F17" si="3">C8 / 365</f>
        <v>6.8493150684931507E-4</v>
      </c>
      <c r="G8">
        <f>_xlfn.LET( _xlpm.val, _xlfn.MINIFS(B8:F8, B8:F8, "&gt;=" &amp; thresh), MATCH( _xlpm.val, B8:F8, 0 ) )</f>
        <v>1</v>
      </c>
      <c r="H8" s="1" t="str" cm="1">
        <f t="array" ref="H8">TEXT( INDEX(B8:F8, $G8), "0") &amp; " " &amp; INDEX(B$6:F$6, $G8)</f>
        <v>6 h</v>
      </c>
      <c r="I8" cm="1">
        <f t="array" ref="I8">_xlfn.LET( _xlpm.n, _xlfn.NUMBERVALUE( INDEX( _xlfn.TEXTSPLIT( H8, " " ), 1 )), _xlpm.n )</f>
        <v>6</v>
      </c>
      <c r="J8" cm="1">
        <f t="array" ref="J8">INDEX( {0.041667,1,7,30.417,365}, $G8)</f>
        <v>4.1667000000000003E-2</v>
      </c>
      <c r="K8">
        <f t="shared" ref="K8:K17" si="4">J8 * I8</f>
        <v>0.250002</v>
      </c>
      <c r="L8" s="1">
        <f>K8/K7</f>
        <v>2</v>
      </c>
      <c r="M8" s="1">
        <f>MIN(L8:L22)</f>
        <v>1</v>
      </c>
      <c r="P8" t="str">
        <v>12 h</v>
      </c>
    </row>
    <row r="9" spans="1:16" x14ac:dyDescent="0.3">
      <c r="B9">
        <f>B8*B$4</f>
        <v>12</v>
      </c>
      <c r="C9" s="2">
        <f t="shared" si="0"/>
        <v>0.5</v>
      </c>
      <c r="D9" s="2">
        <f t="shared" si="1"/>
        <v>7.1428571428571425E-2</v>
      </c>
      <c r="E9" s="2">
        <f t="shared" si="2"/>
        <v>1.643835616438356E-2</v>
      </c>
      <c r="F9" s="2">
        <f t="shared" si="3"/>
        <v>1.3698630136986301E-3</v>
      </c>
      <c r="G9">
        <f>_xlfn.LET( _xlpm.val, _xlfn.MINIFS(B9:F9, B9:F9, "&gt;=" &amp; thresh), MATCH( _xlpm.val, B9:F9, 0 ) )</f>
        <v>1</v>
      </c>
      <c r="H9" s="1" t="str" cm="1">
        <f t="array" ref="H9">TEXT( INDEX(B9:F9, $G9), "0") &amp; " " &amp; INDEX(B$6:F$6, $G9)</f>
        <v>12 h</v>
      </c>
      <c r="I9" cm="1">
        <f t="array" ref="I9">_xlfn.LET( _xlpm.n, _xlfn.NUMBERVALUE( INDEX( _xlfn.TEXTSPLIT( H9, " " ), 1 )), _xlpm.n )</f>
        <v>12</v>
      </c>
      <c r="J9" cm="1">
        <f t="array" ref="J9">INDEX( {0.041667,1,7,30.417,365}, $G9)</f>
        <v>4.1667000000000003E-2</v>
      </c>
      <c r="K9">
        <f t="shared" si="4"/>
        <v>0.500004</v>
      </c>
      <c r="L9" s="1">
        <f t="shared" ref="L9:L22" si="5">K9/K8</f>
        <v>2</v>
      </c>
      <c r="M9" s="1">
        <f>MAX(L8:L22)</f>
        <v>3</v>
      </c>
      <c r="P9" t="str">
        <v>1 d</v>
      </c>
    </row>
    <row r="10" spans="1:16" x14ac:dyDescent="0.3">
      <c r="B10">
        <f>B9*B$4</f>
        <v>24</v>
      </c>
      <c r="C10" s="2">
        <f t="shared" si="0"/>
        <v>1</v>
      </c>
      <c r="D10" s="2">
        <f t="shared" si="1"/>
        <v>0.14285714285714285</v>
      </c>
      <c r="E10" s="2">
        <f t="shared" si="2"/>
        <v>3.287671232876712E-2</v>
      </c>
      <c r="F10" s="2">
        <f t="shared" si="3"/>
        <v>2.7397260273972603E-3</v>
      </c>
      <c r="G10">
        <f>_xlfn.LET( _xlpm.val, _xlfn.MINIFS(B10:F10, B10:F10, "&gt;=" &amp; thresh), MATCH( _xlpm.val, B10:F10, 0 ) )</f>
        <v>2</v>
      </c>
      <c r="H10" s="1" t="str" cm="1">
        <f t="array" ref="H10">TEXT( INDEX(B10:F10, $G10), "0") &amp; " " &amp; INDEX(B$6:F$6, $G10)</f>
        <v>1 d</v>
      </c>
      <c r="I10" cm="1">
        <f t="array" ref="I10">_xlfn.LET( _xlpm.n, _xlfn.NUMBERVALUE( INDEX( _xlfn.TEXTSPLIT( H10, " " ), 1 )), _xlpm.n )</f>
        <v>1</v>
      </c>
      <c r="J10" cm="1">
        <f t="array" ref="J10">INDEX( {0.041667,1,7,30.417,365}, $G10)</f>
        <v>1</v>
      </c>
      <c r="K10">
        <f t="shared" si="4"/>
        <v>1</v>
      </c>
      <c r="L10" s="1">
        <f t="shared" si="5"/>
        <v>1.9999840001279989</v>
      </c>
      <c r="P10" t="str">
        <v>2 d</v>
      </c>
    </row>
    <row r="11" spans="1:16" x14ac:dyDescent="0.3">
      <c r="B11">
        <f>B10*B$4</f>
        <v>48</v>
      </c>
      <c r="C11" s="2">
        <f t="shared" si="0"/>
        <v>2</v>
      </c>
      <c r="D11" s="2">
        <f t="shared" si="1"/>
        <v>0.2857142857142857</v>
      </c>
      <c r="E11" s="2">
        <f t="shared" si="2"/>
        <v>6.575342465753424E-2</v>
      </c>
      <c r="F11" s="2">
        <f t="shared" si="3"/>
        <v>5.4794520547945206E-3</v>
      </c>
      <c r="G11">
        <f>_xlfn.LET( _xlpm.val, _xlfn.MINIFS(B11:F11, B11:F11, "&gt;=" &amp; thresh), MATCH( _xlpm.val, B11:F11, 0 ) )</f>
        <v>2</v>
      </c>
      <c r="H11" s="1" t="str" cm="1">
        <f t="array" ref="H11">TEXT( INDEX(B11:F11, $G11), "0") &amp; " " &amp; INDEX(B$6:F$6, $G11)</f>
        <v>2 d</v>
      </c>
      <c r="I11" cm="1">
        <f t="array" ref="I11">_xlfn.LET( _xlpm.n, _xlfn.NUMBERVALUE( INDEX( _xlfn.TEXTSPLIT( H11, " " ), 1 )), _xlpm.n )</f>
        <v>2</v>
      </c>
      <c r="J11" cm="1">
        <f t="array" ref="J11">INDEX( {0.041667,1,7,30.417,365}, $G11)</f>
        <v>1</v>
      </c>
      <c r="K11">
        <f t="shared" si="4"/>
        <v>2</v>
      </c>
      <c r="L11" s="1">
        <f t="shared" si="5"/>
        <v>2</v>
      </c>
      <c r="P11" t="str">
        <v>4 d</v>
      </c>
    </row>
    <row r="12" spans="1:16" x14ac:dyDescent="0.3">
      <c r="B12">
        <f>B11*B$4</f>
        <v>96</v>
      </c>
      <c r="C12" s="2">
        <f t="shared" si="0"/>
        <v>4</v>
      </c>
      <c r="D12" s="2">
        <f t="shared" si="1"/>
        <v>0.5714285714285714</v>
      </c>
      <c r="E12" s="2">
        <f t="shared" si="2"/>
        <v>0.13150684931506848</v>
      </c>
      <c r="F12" s="2">
        <f t="shared" si="3"/>
        <v>1.0958904109589041E-2</v>
      </c>
      <c r="G12">
        <f>_xlfn.LET( _xlpm.val, _xlfn.MINIFS(B12:F12, B12:F12, "&gt;=" &amp; thresh), MATCH( _xlpm.val, B12:F12, 0 ) )</f>
        <v>2</v>
      </c>
      <c r="H12" s="1" t="str" cm="1">
        <f t="array" ref="H12">TEXT( INDEX(B12:F12, $G12), "0") &amp; " " &amp; INDEX(B$6:F$6, $G12)</f>
        <v>4 d</v>
      </c>
      <c r="I12" cm="1">
        <f t="array" ref="I12">_xlfn.LET( _xlpm.n, _xlfn.NUMBERVALUE( INDEX( _xlfn.TEXTSPLIT( H12, " " ), 1 )), _xlpm.n )</f>
        <v>4</v>
      </c>
      <c r="J12" cm="1">
        <f t="array" ref="J12">INDEX( {0.041667,1,7,30.417,365}, $G12)</f>
        <v>1</v>
      </c>
      <c r="K12">
        <f t="shared" si="4"/>
        <v>4</v>
      </c>
      <c r="L12" s="1">
        <f t="shared" si="5"/>
        <v>2</v>
      </c>
      <c r="P12" t="str">
        <v>1 w</v>
      </c>
    </row>
    <row r="13" spans="1:16" x14ac:dyDescent="0.3">
      <c r="B13">
        <f>B12*B$4</f>
        <v>192</v>
      </c>
      <c r="C13" s="2">
        <f t="shared" si="0"/>
        <v>8</v>
      </c>
      <c r="D13" s="2">
        <f t="shared" si="1"/>
        <v>1.1428571428571428</v>
      </c>
      <c r="E13" s="2">
        <f t="shared" si="2"/>
        <v>0.26301369863013696</v>
      </c>
      <c r="F13" s="2">
        <f t="shared" si="3"/>
        <v>2.1917808219178082E-2</v>
      </c>
      <c r="G13">
        <f>_xlfn.LET( _xlpm.val, _xlfn.MINIFS(B13:F13, B13:F13, "&gt;=" &amp; thresh), MATCH( _xlpm.val, B13:F13, 0 ) )</f>
        <v>3</v>
      </c>
      <c r="H13" s="1" t="str" cm="1">
        <f t="array" ref="H13">TEXT( INDEX(B13:F13, $G13), "0") &amp; " " &amp; INDEX(B$6:F$6, $G13)</f>
        <v>1 w</v>
      </c>
      <c r="I13" cm="1">
        <f t="array" ref="I13">_xlfn.LET( _xlpm.n, _xlfn.NUMBERVALUE( INDEX( _xlfn.TEXTSPLIT( H13, " " ), 1 )), _xlpm.n )</f>
        <v>1</v>
      </c>
      <c r="J13" cm="1">
        <f t="array" ref="J13">INDEX( {0.041667,1,7,30.417,365}, $G13)</f>
        <v>7</v>
      </c>
      <c r="K13">
        <f t="shared" si="4"/>
        <v>7</v>
      </c>
      <c r="L13" s="1">
        <f t="shared" si="5"/>
        <v>1.75</v>
      </c>
      <c r="P13" t="str">
        <v>2 w</v>
      </c>
    </row>
    <row r="14" spans="1:16" x14ac:dyDescent="0.3">
      <c r="B14">
        <f>B13*B$4</f>
        <v>384</v>
      </c>
      <c r="C14" s="2">
        <f t="shared" si="0"/>
        <v>16</v>
      </c>
      <c r="D14" s="2">
        <f t="shared" si="1"/>
        <v>2.2857142857142856</v>
      </c>
      <c r="E14" s="2">
        <f t="shared" si="2"/>
        <v>0.52602739726027392</v>
      </c>
      <c r="F14" s="2">
        <f t="shared" si="3"/>
        <v>4.3835616438356165E-2</v>
      </c>
      <c r="G14">
        <f>_xlfn.LET( _xlpm.val, _xlfn.MINIFS(B14:F14, B14:F14, "&gt;=" &amp; thresh), MATCH( _xlpm.val, B14:F14, 0 ) )</f>
        <v>3</v>
      </c>
      <c r="H14" s="1" t="str" cm="1">
        <f t="array" ref="H14">TEXT( INDEX(B14:F14, $G14), "0") &amp; " " &amp; INDEX(B$6:F$6, $G14)</f>
        <v>2 w</v>
      </c>
      <c r="I14" cm="1">
        <f t="array" ref="I14">_xlfn.LET( _xlpm.n, _xlfn.NUMBERVALUE( INDEX( _xlfn.TEXTSPLIT( H14, " " ), 1 )), _xlpm.n )</f>
        <v>2</v>
      </c>
      <c r="J14" cm="1">
        <f t="array" ref="J14">INDEX( {0.041667,1,7,30.417,365}, $G14)</f>
        <v>7</v>
      </c>
      <c r="K14">
        <f t="shared" si="4"/>
        <v>14</v>
      </c>
      <c r="L14" s="1">
        <f t="shared" si="5"/>
        <v>2</v>
      </c>
      <c r="P14" t="str">
        <v>1 m</v>
      </c>
    </row>
    <row r="15" spans="1:16" x14ac:dyDescent="0.3">
      <c r="B15">
        <f>B14*B$4</f>
        <v>768</v>
      </c>
      <c r="C15" s="2">
        <f t="shared" si="0"/>
        <v>32</v>
      </c>
      <c r="D15" s="2">
        <f t="shared" si="1"/>
        <v>4.5714285714285712</v>
      </c>
      <c r="E15" s="2">
        <f t="shared" si="2"/>
        <v>1.0520547945205478</v>
      </c>
      <c r="F15" s="2">
        <f t="shared" si="3"/>
        <v>8.7671232876712329E-2</v>
      </c>
      <c r="G15">
        <f>_xlfn.LET( _xlpm.val, _xlfn.MINIFS(B15:F15, B15:F15, "&gt;=" &amp; thresh), MATCH( _xlpm.val, B15:F15, 0 ) )</f>
        <v>4</v>
      </c>
      <c r="H15" s="1" t="str" cm="1">
        <f t="array" ref="H15">TEXT( INDEX(B15:F15, $G15), "0") &amp; " " &amp; INDEX(B$6:F$6, $G15)</f>
        <v>1 m</v>
      </c>
      <c r="I15" cm="1">
        <f t="array" ref="I15">_xlfn.LET( _xlpm.n, _xlfn.NUMBERVALUE( INDEX( _xlfn.TEXTSPLIT( H15, " " ), 1 )), _xlpm.n )</f>
        <v>1</v>
      </c>
      <c r="J15" cm="1">
        <f t="array" ref="J15">INDEX( {0.041667,1,7,30.417,365}, $G15)</f>
        <v>30.417000000000002</v>
      </c>
      <c r="K15">
        <f t="shared" si="4"/>
        <v>30.417000000000002</v>
      </c>
      <c r="L15" s="1">
        <f t="shared" si="5"/>
        <v>2.1726428571428573</v>
      </c>
      <c r="P15" t="str">
        <v>2 m</v>
      </c>
    </row>
    <row r="16" spans="1:16" x14ac:dyDescent="0.3">
      <c r="B16">
        <f>B15*B$4</f>
        <v>1536</v>
      </c>
      <c r="C16" s="2">
        <f t="shared" si="0"/>
        <v>64</v>
      </c>
      <c r="D16" s="2">
        <f t="shared" si="1"/>
        <v>9.1428571428571423</v>
      </c>
      <c r="E16" s="2">
        <f t="shared" si="2"/>
        <v>2.1041095890410957</v>
      </c>
      <c r="F16" s="2">
        <f t="shared" si="3"/>
        <v>0.17534246575342466</v>
      </c>
      <c r="G16">
        <f>_xlfn.LET( _xlpm.val, _xlfn.MINIFS(B16:F16, B16:F16, "&gt;=" &amp; thresh), MATCH( _xlpm.val, B16:F16, 0 ) )</f>
        <v>4</v>
      </c>
      <c r="H16" s="1" t="str" cm="1">
        <f t="array" ref="H16">TEXT( INDEX(B16:F16, $G16), "0") &amp; " " &amp; INDEX(B$6:F$6, $G16)</f>
        <v>2 m</v>
      </c>
      <c r="I16" cm="1">
        <f t="array" ref="I16">_xlfn.LET( _xlpm.n, _xlfn.NUMBERVALUE( INDEX( _xlfn.TEXTSPLIT( H16, " " ), 1 )), _xlpm.n )</f>
        <v>2</v>
      </c>
      <c r="J16" cm="1">
        <f t="array" ref="J16">INDEX( {0.041667,1,7,30.417,365}, $G16)</f>
        <v>30.417000000000002</v>
      </c>
      <c r="K16">
        <f t="shared" si="4"/>
        <v>60.834000000000003</v>
      </c>
      <c r="L16" s="1">
        <f t="shared" si="5"/>
        <v>2</v>
      </c>
      <c r="P16" t="str">
        <v>4 m</v>
      </c>
    </row>
    <row r="17" spans="1:16" x14ac:dyDescent="0.3">
      <c r="B17">
        <f>B16*B$4</f>
        <v>3072</v>
      </c>
      <c r="C17" s="2">
        <f t="shared" si="0"/>
        <v>128</v>
      </c>
      <c r="D17" s="2">
        <f t="shared" si="1"/>
        <v>18.285714285714285</v>
      </c>
      <c r="E17" s="2">
        <f t="shared" si="2"/>
        <v>4.2082191780821914</v>
      </c>
      <c r="F17" s="2">
        <f t="shared" si="3"/>
        <v>0.35068493150684932</v>
      </c>
      <c r="G17">
        <f>_xlfn.LET( _xlpm.val, _xlfn.MINIFS(B17:F17, B17:F17, "&gt;=" &amp; thresh), MATCH( _xlpm.val, B17:F17, 0 ) )</f>
        <v>4</v>
      </c>
      <c r="H17" s="1" t="str" cm="1">
        <f t="array" ref="H17">TEXT( INDEX(B17:F17, $G17), "0") &amp; " " &amp; INDEX(B$6:F$6, $G17)</f>
        <v>4 m</v>
      </c>
      <c r="I17" cm="1">
        <f t="array" ref="I17">_xlfn.LET( _xlpm.n, _xlfn.NUMBERVALUE( INDEX( _xlfn.TEXTSPLIT( H17, " " ), 1 )), _xlpm.n )</f>
        <v>4</v>
      </c>
      <c r="J17" cm="1">
        <f t="array" ref="J17">INDEX( {0.041667,1,7,30.417,365}, $G17)</f>
        <v>30.417000000000002</v>
      </c>
      <c r="K17">
        <f t="shared" si="4"/>
        <v>121.66800000000001</v>
      </c>
      <c r="L17" s="1">
        <f t="shared" si="5"/>
        <v>2</v>
      </c>
      <c r="P17" t="str">
        <v>1 y</v>
      </c>
    </row>
    <row r="18" spans="1:16" x14ac:dyDescent="0.3">
      <c r="B18">
        <f>B17*B$4</f>
        <v>6144</v>
      </c>
      <c r="C18" s="2">
        <f t="shared" si="0"/>
        <v>256</v>
      </c>
      <c r="D18" s="2">
        <f t="shared" si="1"/>
        <v>36.571428571428569</v>
      </c>
      <c r="E18" s="2">
        <f t="shared" ref="E18" si="6">C18 / (365/12)</f>
        <v>8.4164383561643827</v>
      </c>
      <c r="F18" s="2">
        <f t="shared" ref="F18" si="7">C18 / 365</f>
        <v>0.70136986301369864</v>
      </c>
      <c r="G18">
        <f>_xlfn.LET( _xlpm.val, _xlfn.MINIFS(B18:F18, B18:F18, "&gt;=" &amp; thresh), MATCH( _xlpm.val, B18:F18, 0 ) )</f>
        <v>5</v>
      </c>
      <c r="H18" s="1" t="str" cm="1">
        <f t="array" ref="H18">TEXT( INDEX(B18:F18, $G18), "0") &amp; " " &amp; INDEX(B$6:F$6, $G18)</f>
        <v>1 y</v>
      </c>
      <c r="I18" cm="1">
        <f t="array" ref="I18">_xlfn.LET( _xlpm.n, _xlfn.NUMBERVALUE( INDEX( _xlfn.TEXTSPLIT( H18, " " ), 1 )), _xlpm.n )</f>
        <v>1</v>
      </c>
      <c r="J18" cm="1">
        <f t="array" ref="J18">INDEX( {0.041667,1,7,30.417,365}, $G18)</f>
        <v>365</v>
      </c>
      <c r="K18">
        <f t="shared" ref="K18" si="8">J18 * I18</f>
        <v>365</v>
      </c>
      <c r="L18" s="1">
        <f t="shared" si="5"/>
        <v>2.9999671236479597</v>
      </c>
      <c r="P18" t="str">
        <v>1 y</v>
      </c>
    </row>
    <row r="19" spans="1:16" x14ac:dyDescent="0.3">
      <c r="B19">
        <f>B18*B$4</f>
        <v>12288</v>
      </c>
      <c r="C19" s="2">
        <f t="shared" si="0"/>
        <v>512</v>
      </c>
      <c r="D19" s="2">
        <f t="shared" si="1"/>
        <v>73.142857142857139</v>
      </c>
      <c r="E19" s="2">
        <f t="shared" ref="E19" si="9">C19 / (365/12)</f>
        <v>16.832876712328765</v>
      </c>
      <c r="F19" s="2">
        <f t="shared" ref="F19" si="10">C19 / 365</f>
        <v>1.4027397260273973</v>
      </c>
      <c r="G19">
        <f>_xlfn.LET( _xlpm.val, _xlfn.MINIFS(B19:F19, B19:F19, "&gt;=" &amp; thresh), MATCH( _xlpm.val, B19:F19, 0 ) )</f>
        <v>5</v>
      </c>
      <c r="H19" s="1" t="str" cm="1">
        <f t="array" ref="H19">TEXT( INDEX(B19:F19, $G19), "0") &amp; " " &amp; INDEX(B$6:F$6, $G19)</f>
        <v>1 y</v>
      </c>
      <c r="I19" cm="1">
        <f t="array" ref="I19">_xlfn.LET( _xlpm.n, _xlfn.NUMBERVALUE( INDEX( _xlfn.TEXTSPLIT( H19, " " ), 1 )), _xlpm.n )</f>
        <v>1</v>
      </c>
      <c r="J19" cm="1">
        <f t="array" ref="J19">INDEX( {0.041667,1,7,30.417,365}, $G19)</f>
        <v>365</v>
      </c>
      <c r="K19">
        <f t="shared" ref="K19" si="11">J19 * I19</f>
        <v>365</v>
      </c>
      <c r="L19" s="1">
        <f t="shared" si="5"/>
        <v>1</v>
      </c>
      <c r="P19" t="str">
        <v>3 y</v>
      </c>
    </row>
    <row r="20" spans="1:16" x14ac:dyDescent="0.3">
      <c r="B20">
        <f>B19*B$4</f>
        <v>24576</v>
      </c>
      <c r="C20" s="2">
        <f t="shared" si="0"/>
        <v>1024</v>
      </c>
      <c r="D20" s="2">
        <f t="shared" si="1"/>
        <v>146.28571428571428</v>
      </c>
      <c r="E20" s="2">
        <f t="shared" ref="E20:E21" si="12">C20 / (365/12)</f>
        <v>33.665753424657531</v>
      </c>
      <c r="F20" s="2">
        <f t="shared" ref="F20:F21" si="13">C20 / 365</f>
        <v>2.8054794520547945</v>
      </c>
      <c r="G20">
        <f>_xlfn.LET( _xlpm.val, _xlfn.MINIFS(B20:F20, B20:F20, "&gt;=" &amp; thresh), MATCH( _xlpm.val, B20:F20, 0 ) )</f>
        <v>5</v>
      </c>
      <c r="H20" s="1" t="str" cm="1">
        <f t="array" ref="H20">TEXT( INDEX(B20:F20, $G20), "0") &amp; " " &amp; INDEX(B$6:F$6, $G20)</f>
        <v>3 y</v>
      </c>
      <c r="I20" cm="1">
        <f t="array" ref="I20">_xlfn.LET( _xlpm.n, _xlfn.NUMBERVALUE( INDEX( _xlfn.TEXTSPLIT( H20, " " ), 1 )), _xlpm.n )</f>
        <v>3</v>
      </c>
      <c r="J20" cm="1">
        <f t="array" ref="J20">INDEX( {0.041667,1,7,30.417,365}, $G20)</f>
        <v>365</v>
      </c>
      <c r="K20">
        <f t="shared" ref="K20:K21" si="14">J20 * I20</f>
        <v>1095</v>
      </c>
      <c r="L20" s="1">
        <f t="shared" si="5"/>
        <v>3</v>
      </c>
      <c r="P20" t="str">
        <v>6 y</v>
      </c>
    </row>
    <row r="21" spans="1:16" x14ac:dyDescent="0.3">
      <c r="B21">
        <f>B20*B$4</f>
        <v>49152</v>
      </c>
      <c r="C21" s="2">
        <f t="shared" si="0"/>
        <v>2048</v>
      </c>
      <c r="D21" s="2">
        <f t="shared" si="1"/>
        <v>292.57142857142856</v>
      </c>
      <c r="E21" s="2">
        <f t="shared" si="12"/>
        <v>67.331506849315062</v>
      </c>
      <c r="F21" s="2">
        <f t="shared" si="13"/>
        <v>5.6109589041095891</v>
      </c>
      <c r="G21">
        <f>_xlfn.LET( _xlpm.val, _xlfn.MINIFS(B21:F21, B21:F21, "&gt;=" &amp; thresh), MATCH( _xlpm.val, B21:F21, 0 ) )</f>
        <v>5</v>
      </c>
      <c r="H21" s="1" t="str" cm="1">
        <f t="array" ref="H21">TEXT( INDEX(B21:F21, $G21), "0") &amp; " " &amp; INDEX(B$6:F$6, $G21)</f>
        <v>6 y</v>
      </c>
      <c r="I21" cm="1">
        <f t="array" ref="I21">_xlfn.LET( _xlpm.n, _xlfn.NUMBERVALUE( INDEX( _xlfn.TEXTSPLIT( H21, " " ), 1 )), _xlpm.n )</f>
        <v>6</v>
      </c>
      <c r="J21" cm="1">
        <f t="array" ref="J21">INDEX( {0.041667,1,7,30.417,365}, $G21)</f>
        <v>365</v>
      </c>
      <c r="K21">
        <f t="shared" si="14"/>
        <v>2190</v>
      </c>
      <c r="L21" s="1">
        <f t="shared" si="5"/>
        <v>2</v>
      </c>
      <c r="P21" t="str">
        <v>11 y</v>
      </c>
    </row>
    <row r="22" spans="1:16" x14ac:dyDescent="0.3">
      <c r="B22">
        <f>B21*B$4</f>
        <v>98304</v>
      </c>
      <c r="C22" s="2">
        <f t="shared" si="0"/>
        <v>4096</v>
      </c>
      <c r="D22" s="2">
        <f t="shared" si="1"/>
        <v>585.14285714285711</v>
      </c>
      <c r="E22" s="2">
        <f t="shared" ref="E22" si="15">C22 / (365/12)</f>
        <v>134.66301369863012</v>
      </c>
      <c r="F22" s="2">
        <f t="shared" ref="F22" si="16">C22 / 365</f>
        <v>11.221917808219178</v>
      </c>
      <c r="G22">
        <f>_xlfn.LET( _xlpm.val, _xlfn.MINIFS(B22:F22, B22:F22, "&gt;=" &amp; thresh), MATCH( _xlpm.val, B22:F22, 0 ) )</f>
        <v>5</v>
      </c>
      <c r="H22" s="1" t="str" cm="1">
        <f t="array" ref="H22">TEXT( INDEX(B22:F22, $G22), "0") &amp; " " &amp; INDEX(B$6:F$6, $G22)</f>
        <v>11 y</v>
      </c>
      <c r="I22" cm="1">
        <f t="array" ref="I22">_xlfn.LET( _xlpm.n, _xlfn.NUMBERVALUE( INDEX( _xlfn.TEXTSPLIT( H22, " " ), 1 )), _xlpm.n )</f>
        <v>11</v>
      </c>
      <c r="J22" cm="1">
        <f t="array" ref="J22">INDEX( {0.041667,1,7,30.417,365}, $G22)</f>
        <v>365</v>
      </c>
      <c r="K22">
        <f t="shared" ref="K22" si="17">J22 * I22</f>
        <v>4015</v>
      </c>
      <c r="L22" s="1">
        <f t="shared" si="5"/>
        <v>1.8333333333333333</v>
      </c>
    </row>
    <row r="26" spans="1:16" x14ac:dyDescent="0.3">
      <c r="A26" t="s">
        <v>5</v>
      </c>
      <c r="B26">
        <f>2^1.25</f>
        <v>2.3784142300054421</v>
      </c>
      <c r="O26" t="s">
        <v>12</v>
      </c>
      <c r="P26">
        <f>B26</f>
        <v>2.3784142300054421</v>
      </c>
    </row>
    <row r="27" spans="1:16" x14ac:dyDescent="0.3">
      <c r="P27" s="5" t="s">
        <v>17</v>
      </c>
    </row>
    <row r="28" spans="1:16" x14ac:dyDescent="0.3">
      <c r="B28" t="s">
        <v>0</v>
      </c>
      <c r="C28" t="s">
        <v>2</v>
      </c>
      <c r="D28" t="s">
        <v>3</v>
      </c>
      <c r="E28" t="s">
        <v>1</v>
      </c>
      <c r="F28" t="s">
        <v>4</v>
      </c>
      <c r="G28" t="s">
        <v>6</v>
      </c>
      <c r="H28" t="s">
        <v>7</v>
      </c>
      <c r="I28" t="s">
        <v>8</v>
      </c>
      <c r="J28" t="s">
        <v>9</v>
      </c>
      <c r="K28" t="s">
        <v>2</v>
      </c>
      <c r="L28" t="s">
        <v>10</v>
      </c>
      <c r="O28" t="s">
        <v>13</v>
      </c>
      <c r="P28" s="1" t="str" cm="1">
        <f t="array" ref="P28:P40">H29:H41</f>
        <v>3 h</v>
      </c>
    </row>
    <row r="29" spans="1:16" x14ac:dyDescent="0.3">
      <c r="B29" s="3">
        <v>3</v>
      </c>
      <c r="C29" s="2">
        <f>B29 / 24</f>
        <v>0.125</v>
      </c>
      <c r="D29" s="2">
        <f>C29 / 7</f>
        <v>1.7857142857142856E-2</v>
      </c>
      <c r="E29" s="2">
        <f>C29 / (365/12)</f>
        <v>4.10958904109589E-3</v>
      </c>
      <c r="F29" s="2">
        <f>C29 / 365</f>
        <v>3.4246575342465754E-4</v>
      </c>
      <c r="G29">
        <f>_xlfn.LET( _xlpm.val, _xlfn.MINIFS(B29:F29, B29:F29, "&gt;=" &amp; thresh), MATCH( _xlpm.val, B29:F29, 0 ) )</f>
        <v>1</v>
      </c>
      <c r="H29" s="1" t="str" cm="1">
        <f t="array" ref="H29">TEXT( INDEX(B29:F29, $G29), "0") &amp; " " &amp; INDEX(B$6:F$6, $G29)</f>
        <v>3 h</v>
      </c>
      <c r="I29" cm="1">
        <f t="array" ref="I29">_xlfn.LET( _xlpm.n, _xlfn.NUMBERVALUE( INDEX( _xlfn.TEXTSPLIT( H29, " " ), 1 )), _xlpm.n )</f>
        <v>3</v>
      </c>
      <c r="J29" cm="1">
        <f t="array" ref="J29">INDEX( {0.041667,1,7,30.417,365}, $G29)</f>
        <v>4.1667000000000003E-2</v>
      </c>
      <c r="K29">
        <f>J29 * I29</f>
        <v>0.125001</v>
      </c>
      <c r="L29" s="1"/>
      <c r="M29" s="4">
        <f>(M31/M30)</f>
        <v>2.4830204081632656</v>
      </c>
      <c r="P29" t="str">
        <v>7 h</v>
      </c>
    </row>
    <row r="30" spans="1:16" x14ac:dyDescent="0.3">
      <c r="B30">
        <f>B29*B$26</f>
        <v>7.1352426900163266</v>
      </c>
      <c r="C30" s="2">
        <f t="shared" ref="C30:C41" si="18">B30 / 24</f>
        <v>0.29730177875068026</v>
      </c>
      <c r="D30" s="2">
        <f t="shared" ref="D30:D41" si="19">C30 / 7</f>
        <v>4.2471682678668611E-2</v>
      </c>
      <c r="E30" s="2">
        <f t="shared" ref="E30:E39" si="20">C30 / (365/12)</f>
        <v>9.7743050548168842E-3</v>
      </c>
      <c r="F30" s="2">
        <f t="shared" ref="F30:F39" si="21">C30 / 365</f>
        <v>8.1452542123474042E-4</v>
      </c>
      <c r="G30">
        <f>_xlfn.LET( _xlpm.val, _xlfn.MINIFS(B30:F30, B30:F30, "&gt;=" &amp; thresh), MATCH( _xlpm.val, B30:F30, 0 ) )</f>
        <v>1</v>
      </c>
      <c r="H30" s="1" t="str" cm="1">
        <f t="array" ref="H30">TEXT( INDEX(B30:F30, $G30), "0") &amp; " " &amp; INDEX(B$6:F$6, $G30)</f>
        <v>7 h</v>
      </c>
      <c r="I30" cm="1">
        <f t="array" ref="I30">_xlfn.LET( _xlpm.n, _xlfn.NUMBERVALUE( INDEX( _xlfn.TEXTSPLIT( H30, " " ), 1 )), _xlpm.n )</f>
        <v>7</v>
      </c>
      <c r="J30" cm="1">
        <f t="array" ref="J30">INDEX( {0.041667,1,7,30.417,365}, $G30)</f>
        <v>4.1667000000000003E-2</v>
      </c>
      <c r="K30">
        <f t="shared" ref="K30:K39" si="22">J30 * I30</f>
        <v>0.29166900000000001</v>
      </c>
      <c r="L30" s="1">
        <f>K30/K29</f>
        <v>2.3333333333333335</v>
      </c>
      <c r="M30" s="1">
        <f>MIN(L30:L41)</f>
        <v>1.75</v>
      </c>
      <c r="P30" t="str">
        <v>1 d</v>
      </c>
    </row>
    <row r="31" spans="1:16" x14ac:dyDescent="0.3">
      <c r="B31">
        <f t="shared" ref="B31:B39" si="23">B30*B$26</f>
        <v>16.970562748477139</v>
      </c>
      <c r="C31" s="2">
        <f t="shared" si="18"/>
        <v>0.70710678118654746</v>
      </c>
      <c r="D31" s="2">
        <f t="shared" si="19"/>
        <v>0.10101525445522107</v>
      </c>
      <c r="E31" s="2">
        <f t="shared" si="20"/>
        <v>2.3247346230790601E-2</v>
      </c>
      <c r="F31" s="2">
        <f t="shared" si="21"/>
        <v>1.9372788525658835E-3</v>
      </c>
      <c r="G31">
        <f>_xlfn.LET( _xlpm.val, _xlfn.MINIFS(B31:F31, B31:F31, "&gt;=" &amp; thresh), MATCH( _xlpm.val, B31:F31, 0 ) )</f>
        <v>2</v>
      </c>
      <c r="H31" s="1" t="str" cm="1">
        <f t="array" ref="H31">TEXT( INDEX(B31:F31, $G31), "0") &amp; " " &amp; INDEX(B$6:F$6, $G31)</f>
        <v>1 d</v>
      </c>
      <c r="I31" cm="1">
        <f t="array" ref="I31">_xlfn.LET( _xlpm.n, _xlfn.NUMBERVALUE( INDEX( _xlfn.TEXTSPLIT( H31, " " ), 1 )), _xlpm.n )</f>
        <v>1</v>
      </c>
      <c r="J31" cm="1">
        <f t="array" ref="J31">INDEX( {0.041667,1,7,30.417,365}, $G31)</f>
        <v>1</v>
      </c>
      <c r="K31">
        <f t="shared" si="22"/>
        <v>1</v>
      </c>
      <c r="L31" s="1">
        <f t="shared" ref="L31:L41" si="24">K31/K30</f>
        <v>3.4285440002194267</v>
      </c>
      <c r="M31" s="1">
        <f>MAX(L30:L41)</f>
        <v>4.3452857142857146</v>
      </c>
      <c r="P31" t="str">
        <v>2 d</v>
      </c>
    </row>
    <row r="32" spans="1:16" x14ac:dyDescent="0.3">
      <c r="B32">
        <f t="shared" si="23"/>
        <v>40.363027932178291</v>
      </c>
      <c r="C32" s="2">
        <f t="shared" si="18"/>
        <v>1.6817928305074288</v>
      </c>
      <c r="D32" s="2">
        <f t="shared" si="19"/>
        <v>0.24025611864391841</v>
      </c>
      <c r="E32" s="2">
        <f t="shared" si="20"/>
        <v>5.529181908517574E-2</v>
      </c>
      <c r="F32" s="2">
        <f t="shared" si="21"/>
        <v>4.6076515904313114E-3</v>
      </c>
      <c r="G32">
        <f>_xlfn.LET( _xlpm.val, _xlfn.MINIFS(B32:F32, B32:F32, "&gt;=" &amp; thresh), MATCH( _xlpm.val, B32:F32, 0 ) )</f>
        <v>2</v>
      </c>
      <c r="H32" s="1" t="str" cm="1">
        <f t="array" ref="H32">TEXT( INDEX(B32:F32, $G32), "0") &amp; " " &amp; INDEX(B$6:F$6, $G32)</f>
        <v>2 d</v>
      </c>
      <c r="I32" cm="1">
        <f t="array" ref="I32">_xlfn.LET( _xlpm.n, _xlfn.NUMBERVALUE( INDEX( _xlfn.TEXTSPLIT( H32, " " ), 1 )), _xlpm.n )</f>
        <v>2</v>
      </c>
      <c r="J32" cm="1">
        <f t="array" ref="J32">INDEX( {0.041667,1,7,30.417,365}, $G32)</f>
        <v>1</v>
      </c>
      <c r="K32">
        <f t="shared" si="22"/>
        <v>2</v>
      </c>
      <c r="L32" s="1">
        <f t="shared" si="24"/>
        <v>2</v>
      </c>
      <c r="P32" t="str">
        <v>4 d</v>
      </c>
    </row>
    <row r="33" spans="1:16" x14ac:dyDescent="0.3">
      <c r="B33">
        <f t="shared" si="23"/>
        <v>95.999999999999986</v>
      </c>
      <c r="C33" s="2">
        <f t="shared" si="18"/>
        <v>3.9999999999999996</v>
      </c>
      <c r="D33" s="2">
        <f t="shared" si="19"/>
        <v>0.5714285714285714</v>
      </c>
      <c r="E33" s="2">
        <f t="shared" si="20"/>
        <v>0.13150684931506848</v>
      </c>
      <c r="F33" s="2">
        <f t="shared" si="21"/>
        <v>1.0958904109589039E-2</v>
      </c>
      <c r="G33">
        <f>_xlfn.LET( _xlpm.val, _xlfn.MINIFS(B33:F33, B33:F33, "&gt;=" &amp; thresh), MATCH( _xlpm.val, B33:F33, 0 ) )</f>
        <v>2</v>
      </c>
      <c r="H33" s="1" t="str" cm="1">
        <f t="array" ref="H33">TEXT( INDEX(B33:F33, $G33), "0") &amp; " " &amp; INDEX(B$6:F$6, $G33)</f>
        <v>4 d</v>
      </c>
      <c r="I33" cm="1">
        <f t="array" ref="I33">_xlfn.LET( _xlpm.n, _xlfn.NUMBERVALUE( INDEX( _xlfn.TEXTSPLIT( H33, " " ), 1 )), _xlpm.n )</f>
        <v>4</v>
      </c>
      <c r="J33" cm="1">
        <f t="array" ref="J33">INDEX( {0.041667,1,7,30.417,365}, $G33)</f>
        <v>1</v>
      </c>
      <c r="K33">
        <f t="shared" si="22"/>
        <v>4</v>
      </c>
      <c r="L33" s="1">
        <f t="shared" si="24"/>
        <v>2</v>
      </c>
      <c r="P33" t="str">
        <v>1 w</v>
      </c>
    </row>
    <row r="34" spans="1:16" x14ac:dyDescent="0.3">
      <c r="B34">
        <f t="shared" si="23"/>
        <v>228.32776608052239</v>
      </c>
      <c r="C34" s="2">
        <f t="shared" si="18"/>
        <v>9.5136569200217664</v>
      </c>
      <c r="D34" s="2">
        <f t="shared" si="19"/>
        <v>1.3590938457173951</v>
      </c>
      <c r="E34" s="2">
        <f t="shared" si="20"/>
        <v>0.31277776175414024</v>
      </c>
      <c r="F34" s="2">
        <f t="shared" si="21"/>
        <v>2.606481347951169E-2</v>
      </c>
      <c r="G34">
        <f>_xlfn.LET( _xlpm.val, _xlfn.MINIFS(B34:F34, B34:F34, "&gt;=" &amp; thresh), MATCH( _xlpm.val, B34:F34, 0 ) )</f>
        <v>3</v>
      </c>
      <c r="H34" s="1" t="str" cm="1">
        <f t="array" ref="H34">TEXT( INDEX(B34:F34, $G34), "0") &amp; " " &amp; INDEX(B$6:F$6, $G34)</f>
        <v>1 w</v>
      </c>
      <c r="I34" cm="1">
        <f t="array" ref="I34">_xlfn.LET( _xlpm.n, _xlfn.NUMBERVALUE( INDEX( _xlfn.TEXTSPLIT( H34, " " ), 1 )), _xlpm.n )</f>
        <v>1</v>
      </c>
      <c r="J34" cm="1">
        <f t="array" ref="J34">INDEX( {0.041667,1,7,30.417,365}, $G34)</f>
        <v>7</v>
      </c>
      <c r="K34">
        <f t="shared" si="22"/>
        <v>7</v>
      </c>
      <c r="L34" s="1">
        <f t="shared" si="24"/>
        <v>1.75</v>
      </c>
      <c r="P34" t="str">
        <v>1 m</v>
      </c>
    </row>
    <row r="35" spans="1:16" x14ac:dyDescent="0.3">
      <c r="B35">
        <f t="shared" si="23"/>
        <v>543.05800795126834</v>
      </c>
      <c r="C35" s="2">
        <f t="shared" si="18"/>
        <v>22.627416997969515</v>
      </c>
      <c r="D35" s="2">
        <f t="shared" si="19"/>
        <v>3.2324881425670737</v>
      </c>
      <c r="E35" s="2">
        <f t="shared" si="20"/>
        <v>0.74391507938529911</v>
      </c>
      <c r="F35" s="2">
        <f t="shared" si="21"/>
        <v>6.1992923282108259E-2</v>
      </c>
      <c r="G35">
        <f>_xlfn.LET( _xlpm.val, _xlfn.MINIFS(B35:F35, B35:F35, "&gt;=" &amp; thresh), MATCH( _xlpm.val, B35:F35, 0 ) )</f>
        <v>4</v>
      </c>
      <c r="H35" s="1" t="str" cm="1">
        <f t="array" ref="H35">TEXT( INDEX(B35:F35, $G35), "0") &amp; " " &amp; INDEX(B$6:F$6, $G35)</f>
        <v>1 m</v>
      </c>
      <c r="I35" cm="1">
        <f t="array" ref="I35">_xlfn.LET( _xlpm.n, _xlfn.NUMBERVALUE( INDEX( _xlfn.TEXTSPLIT( H35, " " ), 1 )), _xlpm.n )</f>
        <v>1</v>
      </c>
      <c r="J35" cm="1">
        <f t="array" ref="J35">INDEX( {0.041667,1,7,30.417,365}, $G35)</f>
        <v>30.417000000000002</v>
      </c>
      <c r="K35">
        <f t="shared" si="22"/>
        <v>30.417000000000002</v>
      </c>
      <c r="L35" s="1">
        <f t="shared" si="24"/>
        <v>4.3452857142857146</v>
      </c>
      <c r="P35" t="str">
        <v>2 m</v>
      </c>
    </row>
    <row r="36" spans="1:16" x14ac:dyDescent="0.3">
      <c r="B36">
        <f t="shared" si="23"/>
        <v>1291.6168938297051</v>
      </c>
      <c r="C36" s="2">
        <f t="shared" si="18"/>
        <v>53.817370576237714</v>
      </c>
      <c r="D36" s="2">
        <f t="shared" si="19"/>
        <v>7.6881957966053873</v>
      </c>
      <c r="E36" s="2">
        <f t="shared" si="20"/>
        <v>1.7693382107256235</v>
      </c>
      <c r="F36" s="2">
        <f t="shared" si="21"/>
        <v>0.14744485089380197</v>
      </c>
      <c r="G36">
        <f>_xlfn.LET( _xlpm.val, _xlfn.MINIFS(B36:F36, B36:F36, "&gt;=" &amp; thresh), MATCH( _xlpm.val, B36:F36, 0 ) )</f>
        <v>4</v>
      </c>
      <c r="H36" s="1" t="str" cm="1">
        <f t="array" ref="H36">TEXT( INDEX(B36:F36, $G36), "0") &amp; " " &amp; INDEX(B$6:F$6, $G36)</f>
        <v>2 m</v>
      </c>
      <c r="I36" cm="1">
        <f t="array" ref="I36">_xlfn.LET( _xlpm.n, _xlfn.NUMBERVALUE( INDEX( _xlfn.TEXTSPLIT( H36, " " ), 1 )), _xlpm.n )</f>
        <v>2</v>
      </c>
      <c r="J36" cm="1">
        <f t="array" ref="J36">INDEX( {0.041667,1,7,30.417,365}, $G36)</f>
        <v>30.417000000000002</v>
      </c>
      <c r="K36">
        <f t="shared" si="22"/>
        <v>60.834000000000003</v>
      </c>
      <c r="L36" s="1">
        <f t="shared" si="24"/>
        <v>2</v>
      </c>
      <c r="P36" t="str">
        <v>4 m</v>
      </c>
    </row>
    <row r="37" spans="1:16" x14ac:dyDescent="0.3">
      <c r="B37">
        <f t="shared" si="23"/>
        <v>3071.9999999999986</v>
      </c>
      <c r="C37" s="2">
        <f t="shared" si="18"/>
        <v>127.99999999999994</v>
      </c>
      <c r="D37" s="2">
        <f t="shared" si="19"/>
        <v>18.285714285714278</v>
      </c>
      <c r="E37" s="2">
        <f t="shared" si="20"/>
        <v>4.2082191780821896</v>
      </c>
      <c r="F37" s="2">
        <f t="shared" si="21"/>
        <v>0.35068493150684915</v>
      </c>
      <c r="G37">
        <f>_xlfn.LET( _xlpm.val, _xlfn.MINIFS(B37:F37, B37:F37, "&gt;=" &amp; thresh), MATCH( _xlpm.val, B37:F37, 0 ) )</f>
        <v>4</v>
      </c>
      <c r="H37" s="1" t="str" cm="1">
        <f t="array" ref="H37">TEXT( INDEX(B37:F37, $G37), "0") &amp; " " &amp; INDEX(B$6:F$6, $G37)</f>
        <v>4 m</v>
      </c>
      <c r="I37" cm="1">
        <f t="array" ref="I37">_xlfn.LET( _xlpm.n, _xlfn.NUMBERVALUE( INDEX( _xlfn.TEXTSPLIT( H37, " " ), 1 )), _xlpm.n )</f>
        <v>4</v>
      </c>
      <c r="J37" cm="1">
        <f t="array" ref="J37">INDEX( {0.041667,1,7,30.417,365}, $G37)</f>
        <v>30.417000000000002</v>
      </c>
      <c r="K37">
        <f t="shared" si="22"/>
        <v>121.66800000000001</v>
      </c>
      <c r="L37" s="1">
        <f t="shared" si="24"/>
        <v>2</v>
      </c>
      <c r="P37" t="str">
        <v>1 y</v>
      </c>
    </row>
    <row r="38" spans="1:16" x14ac:dyDescent="0.3">
      <c r="B38">
        <f t="shared" si="23"/>
        <v>7306.4885145767148</v>
      </c>
      <c r="C38" s="2">
        <f t="shared" si="18"/>
        <v>304.43702144069647</v>
      </c>
      <c r="D38" s="2">
        <f t="shared" si="19"/>
        <v>43.491003062956636</v>
      </c>
      <c r="E38" s="2">
        <f t="shared" si="20"/>
        <v>10.008888376132486</v>
      </c>
      <c r="F38" s="2">
        <f t="shared" si="21"/>
        <v>0.83407403134437386</v>
      </c>
      <c r="G38">
        <f>_xlfn.LET( _xlpm.val, _xlfn.MINIFS(B38:F38, B38:F38, "&gt;=" &amp; thresh), MATCH( _xlpm.val, B38:F38, 0 ) )</f>
        <v>5</v>
      </c>
      <c r="H38" s="1" t="str" cm="1">
        <f t="array" ref="H38">TEXT( INDEX(B38:F38, $G38), "0") &amp; " " &amp; INDEX(B$6:F$6, $G38)</f>
        <v>1 y</v>
      </c>
      <c r="I38" cm="1">
        <f t="array" ref="I38">_xlfn.LET( _xlpm.n, _xlfn.NUMBERVALUE( INDEX( _xlfn.TEXTSPLIT( H38, " " ), 1 )), _xlpm.n )</f>
        <v>1</v>
      </c>
      <c r="J38" cm="1">
        <f t="array" ref="J38">INDEX( {0.041667,1,7,30.417,365}, $G38)</f>
        <v>365</v>
      </c>
      <c r="K38">
        <f t="shared" si="22"/>
        <v>365</v>
      </c>
      <c r="L38" s="1">
        <f t="shared" si="24"/>
        <v>2.9999671236479597</v>
      </c>
      <c r="P38" t="str">
        <v>2 y</v>
      </c>
    </row>
    <row r="39" spans="1:16" x14ac:dyDescent="0.3">
      <c r="B39">
        <f t="shared" si="23"/>
        <v>17377.856254440583</v>
      </c>
      <c r="C39" s="2">
        <f t="shared" si="18"/>
        <v>724.07734393502426</v>
      </c>
      <c r="D39" s="2">
        <f t="shared" si="19"/>
        <v>103.43962056214632</v>
      </c>
      <c r="E39" s="2">
        <f t="shared" si="20"/>
        <v>23.805282540329564</v>
      </c>
      <c r="F39" s="2">
        <f t="shared" si="21"/>
        <v>1.9837735450274638</v>
      </c>
      <c r="G39">
        <f>_xlfn.LET( _xlpm.val, _xlfn.MINIFS(B39:F39, B39:F39, "&gt;=" &amp; thresh), MATCH( _xlpm.val, B39:F39, 0 ) )</f>
        <v>5</v>
      </c>
      <c r="H39" s="1" t="str" cm="1">
        <f t="array" ref="H39">TEXT( INDEX(B39:F39, $G39), "0") &amp; " " &amp; INDEX(B$6:F$6, $G39)</f>
        <v>2 y</v>
      </c>
      <c r="I39" cm="1">
        <f t="array" ref="I39">_xlfn.LET( _xlpm.n, _xlfn.NUMBERVALUE( INDEX( _xlfn.TEXTSPLIT( H39, " " ), 1 )), _xlpm.n )</f>
        <v>2</v>
      </c>
      <c r="J39" cm="1">
        <f t="array" ref="J39">INDEX( {0.041667,1,7,30.417,365}, $G39)</f>
        <v>365</v>
      </c>
      <c r="K39">
        <f t="shared" si="22"/>
        <v>730</v>
      </c>
      <c r="L39" s="1">
        <f t="shared" si="24"/>
        <v>2</v>
      </c>
      <c r="P39" t="str">
        <v>5 y</v>
      </c>
    </row>
    <row r="40" spans="1:16" x14ac:dyDescent="0.3">
      <c r="B40">
        <f t="shared" ref="B40:B41" si="25">B39*B$26</f>
        <v>41331.740602550555</v>
      </c>
      <c r="C40" s="2">
        <f t="shared" si="18"/>
        <v>1722.1558584396064</v>
      </c>
      <c r="D40" s="2">
        <f t="shared" si="19"/>
        <v>246.02226549137234</v>
      </c>
      <c r="E40" s="2">
        <f t="shared" ref="E40:E41" si="26">C40 / (365/12)</f>
        <v>56.618822743219937</v>
      </c>
      <c r="F40" s="2">
        <f t="shared" ref="F40:F41" si="27">C40 / 365</f>
        <v>4.7182352286016611</v>
      </c>
      <c r="G40">
        <f>_xlfn.LET( _xlpm.val, _xlfn.MINIFS(B40:F40, B40:F40, "&gt;=" &amp; thresh), MATCH( _xlpm.val, B40:F40, 0 ) )</f>
        <v>5</v>
      </c>
      <c r="H40" s="1" t="str" cm="1">
        <f t="array" ref="H40">TEXT( INDEX(B40:F40, $G40), "0") &amp; " " &amp; INDEX(B$6:F$6, $G40)</f>
        <v>5 y</v>
      </c>
      <c r="I40" cm="1">
        <f t="array" ref="I40">_xlfn.LET( _xlpm.n, _xlfn.NUMBERVALUE( INDEX( _xlfn.TEXTSPLIT( H40, " " ), 1 )), _xlpm.n )</f>
        <v>5</v>
      </c>
      <c r="J40" cm="1">
        <f t="array" ref="J40">INDEX( {0.041667,1,7,30.417,365}, $G40)</f>
        <v>365</v>
      </c>
      <c r="K40">
        <f t="shared" ref="K40:K41" si="28">J40 * I40</f>
        <v>1825</v>
      </c>
      <c r="L40" s="1">
        <f t="shared" si="24"/>
        <v>2.5</v>
      </c>
      <c r="P40" t="str">
        <v>11 y</v>
      </c>
    </row>
    <row r="41" spans="1:16" x14ac:dyDescent="0.3">
      <c r="B41">
        <f t="shared" si="25"/>
        <v>98303.999999999942</v>
      </c>
      <c r="C41" s="2">
        <f t="shared" si="18"/>
        <v>4095.9999999999977</v>
      </c>
      <c r="D41" s="2">
        <f t="shared" si="19"/>
        <v>585.14285714285677</v>
      </c>
      <c r="E41" s="2">
        <f t="shared" si="26"/>
        <v>134.66301369863007</v>
      </c>
      <c r="F41" s="2">
        <f t="shared" si="27"/>
        <v>11.221917808219171</v>
      </c>
      <c r="G41">
        <f>_xlfn.LET( _xlpm.val, _xlfn.MINIFS(B41:F41, B41:F41, "&gt;=" &amp; thresh), MATCH( _xlpm.val, B41:F41, 0 ) )</f>
        <v>5</v>
      </c>
      <c r="H41" s="1" t="str" cm="1">
        <f t="array" ref="H41">TEXT( INDEX(B41:F41, $G41), "0") &amp; " " &amp; INDEX(B$6:F$6, $G41)</f>
        <v>11 y</v>
      </c>
      <c r="I41" cm="1">
        <f t="array" ref="I41">_xlfn.LET( _xlpm.n, _xlfn.NUMBERVALUE( INDEX( _xlfn.TEXTSPLIT( H41, " " ), 1 )), _xlpm.n )</f>
        <v>11</v>
      </c>
      <c r="J41" cm="1">
        <f t="array" ref="J41">INDEX( {0.041667,1,7,30.417,365}, $G41)</f>
        <v>365</v>
      </c>
      <c r="K41">
        <f t="shared" si="28"/>
        <v>4015</v>
      </c>
      <c r="L41" s="1">
        <f t="shared" si="24"/>
        <v>2.2000000000000002</v>
      </c>
    </row>
    <row r="45" spans="1:16" x14ac:dyDescent="0.3">
      <c r="A45" t="s">
        <v>5</v>
      </c>
      <c r="B45">
        <f>2^1.5</f>
        <v>2.8284271247461898</v>
      </c>
      <c r="O45" t="s">
        <v>12</v>
      </c>
      <c r="P45">
        <f>B45</f>
        <v>2.8284271247461898</v>
      </c>
    </row>
    <row r="46" spans="1:16" x14ac:dyDescent="0.3">
      <c r="P46" s="5" t="s">
        <v>16</v>
      </c>
    </row>
    <row r="47" spans="1:16" x14ac:dyDescent="0.3">
      <c r="B47" t="s">
        <v>0</v>
      </c>
      <c r="C47" t="s">
        <v>2</v>
      </c>
      <c r="D47" t="s">
        <v>3</v>
      </c>
      <c r="E47" t="s">
        <v>1</v>
      </c>
      <c r="F47" t="s">
        <v>4</v>
      </c>
      <c r="G47" t="s">
        <v>6</v>
      </c>
      <c r="H47" t="s">
        <v>7</v>
      </c>
      <c r="I47" t="s">
        <v>8</v>
      </c>
      <c r="J47" t="s">
        <v>9</v>
      </c>
      <c r="K47" t="s">
        <v>2</v>
      </c>
      <c r="L47" t="s">
        <v>10</v>
      </c>
      <c r="O47" t="s">
        <v>13</v>
      </c>
      <c r="P47" s="1" t="str" cm="1">
        <f t="array" ref="P47:P57">H48:H58</f>
        <v>3 h</v>
      </c>
    </row>
    <row r="48" spans="1:16" x14ac:dyDescent="0.3">
      <c r="B48" s="3">
        <v>3</v>
      </c>
      <c r="C48" s="2">
        <f>B48 / 24</f>
        <v>0.125</v>
      </c>
      <c r="D48" s="2">
        <f>C48 / 7</f>
        <v>1.7857142857142856E-2</v>
      </c>
      <c r="E48" s="2">
        <f>C48 / (365/12)</f>
        <v>4.10958904109589E-3</v>
      </c>
      <c r="F48" s="2">
        <f>C48 / 365</f>
        <v>3.4246575342465754E-4</v>
      </c>
      <c r="G48">
        <f>_xlfn.LET( _xlpm.val, _xlfn.MINIFS(B48:F48, B48:F48, "&gt;=" &amp; thresh), MATCH( _xlpm.val, B48:F48, 0 ) )</f>
        <v>1</v>
      </c>
      <c r="H48" s="1" t="str" cm="1">
        <f t="array" ref="H48">TEXT( INDEX(B48:F48, $G48), "0") &amp; " " &amp; INDEX(B$6:F$6, $G48)</f>
        <v>3 h</v>
      </c>
      <c r="I48" cm="1">
        <f t="array" ref="I48">_xlfn.LET( _xlpm.n, _xlfn.NUMBERVALUE( INDEX( _xlfn.TEXTSPLIT( H48, " " ), 1 )), _xlpm.n )</f>
        <v>3</v>
      </c>
      <c r="J48" cm="1">
        <f t="array" ref="J48">INDEX( {0.041667,1,7,30.417,365}, $G48)</f>
        <v>4.1667000000000003E-2</v>
      </c>
      <c r="K48">
        <f>J48 * I48</f>
        <v>0.125001</v>
      </c>
      <c r="L48" s="1"/>
      <c r="M48" s="4">
        <f>(M50/M49)</f>
        <v>2.1726666669275931</v>
      </c>
      <c r="P48" t="str">
        <v>8 h</v>
      </c>
    </row>
    <row r="49" spans="1:16" x14ac:dyDescent="0.3">
      <c r="B49">
        <f>B48*B$45</f>
        <v>8.4852813742385695</v>
      </c>
      <c r="C49" s="2">
        <f t="shared" ref="C49:C58" si="29">B49 / 24</f>
        <v>0.35355339059327373</v>
      </c>
      <c r="D49" s="2">
        <f t="shared" ref="D49:D58" si="30">C49 / 7</f>
        <v>5.0507627227610534E-2</v>
      </c>
      <c r="E49" s="2">
        <f t="shared" ref="E49:E58" si="31">C49 / (365/12)</f>
        <v>1.16236731153953E-2</v>
      </c>
      <c r="F49" s="2">
        <f t="shared" ref="F49:F58" si="32">C49 / 365</f>
        <v>9.6863942628294176E-4</v>
      </c>
      <c r="G49">
        <f>_xlfn.LET( _xlpm.val, _xlfn.MINIFS(B49:F49, B49:F49, "&gt;=" &amp; thresh), MATCH( _xlpm.val, B49:F49, 0 ) )</f>
        <v>1</v>
      </c>
      <c r="H49" s="1" t="str" cm="1">
        <f t="array" ref="H49">TEXT( INDEX(B49:F49, $G49), "0") &amp; " " &amp; INDEX(B$6:F$6, $G49)</f>
        <v>8 h</v>
      </c>
      <c r="I49" cm="1">
        <f t="array" ref="I49">_xlfn.LET( _xlpm.n, _xlfn.NUMBERVALUE( INDEX( _xlfn.TEXTSPLIT( H49, " " ), 1 )), _xlpm.n )</f>
        <v>8</v>
      </c>
      <c r="J49" cm="1">
        <f t="array" ref="J49">INDEX( {0.041667,1,7,30.417,365}, $G49)</f>
        <v>4.1667000000000003E-2</v>
      </c>
      <c r="K49">
        <f t="shared" ref="K49:K58" si="33">J49 * I49</f>
        <v>0.33333600000000002</v>
      </c>
      <c r="L49" s="1">
        <f>K49/K48</f>
        <v>2.666666666666667</v>
      </c>
      <c r="M49" s="1">
        <f>MIN(L49:L58)</f>
        <v>1.9999780824319733</v>
      </c>
      <c r="P49" t="str">
        <v>1 d</v>
      </c>
    </row>
    <row r="50" spans="1:16" x14ac:dyDescent="0.3">
      <c r="B50">
        <f t="shared" ref="B50:B58" si="34">B49*B$45</f>
        <v>23.999999999999996</v>
      </c>
      <c r="C50" s="2">
        <f t="shared" si="29"/>
        <v>0.99999999999999989</v>
      </c>
      <c r="D50" s="2">
        <f t="shared" si="30"/>
        <v>0.14285714285714285</v>
      </c>
      <c r="E50" s="2">
        <f t="shared" si="31"/>
        <v>3.287671232876712E-2</v>
      </c>
      <c r="F50" s="2">
        <f t="shared" si="32"/>
        <v>2.7397260273972599E-3</v>
      </c>
      <c r="G50">
        <f>_xlfn.LET( _xlpm.val, _xlfn.MINIFS(B50:F50, B50:F50, "&gt;=" &amp; thresh), MATCH( _xlpm.val, B50:F50, 0 ) )</f>
        <v>2</v>
      </c>
      <c r="H50" s="1" t="str" cm="1">
        <f t="array" ref="H50">TEXT( INDEX(B50:F50, $G50), "0") &amp; " " &amp; INDEX(B$6:F$6, $G50)</f>
        <v>1 d</v>
      </c>
      <c r="I50" cm="1">
        <f t="array" ref="I50">_xlfn.LET( _xlpm.n, _xlfn.NUMBERVALUE( INDEX( _xlfn.TEXTSPLIT( H50, " " ), 1 )), _xlpm.n )</f>
        <v>1</v>
      </c>
      <c r="J50" cm="1">
        <f t="array" ref="J50">INDEX( {0.041667,1,7,30.417,365}, $G50)</f>
        <v>1</v>
      </c>
      <c r="K50">
        <f t="shared" si="33"/>
        <v>1</v>
      </c>
      <c r="L50" s="1">
        <f t="shared" ref="L50:L58" si="35">K50/K49</f>
        <v>2.9999760001919982</v>
      </c>
      <c r="M50" s="1">
        <f>MAX(L49:L58)</f>
        <v>4.3452857142857146</v>
      </c>
      <c r="P50" t="str">
        <v>3 d</v>
      </c>
    </row>
    <row r="51" spans="1:16" x14ac:dyDescent="0.3">
      <c r="B51">
        <f t="shared" si="34"/>
        <v>67.882250993908542</v>
      </c>
      <c r="C51" s="2">
        <f t="shared" si="29"/>
        <v>2.8284271247461894</v>
      </c>
      <c r="D51" s="2">
        <f t="shared" si="30"/>
        <v>0.40406101782088422</v>
      </c>
      <c r="E51" s="2">
        <f t="shared" si="31"/>
        <v>9.2989384923162388E-2</v>
      </c>
      <c r="F51" s="2">
        <f t="shared" si="32"/>
        <v>7.7491154102635323E-3</v>
      </c>
      <c r="G51">
        <f>_xlfn.LET( _xlpm.val, _xlfn.MINIFS(B51:F51, B51:F51, "&gt;=" &amp; thresh), MATCH( _xlpm.val, B51:F51, 0 ) )</f>
        <v>2</v>
      </c>
      <c r="H51" s="1" t="str" cm="1">
        <f t="array" ref="H51">TEXT( INDEX(B51:F51, $G51), "0") &amp; " " &amp; INDEX(B$6:F$6, $G51)</f>
        <v>3 d</v>
      </c>
      <c r="I51" cm="1">
        <f t="array" ref="I51">_xlfn.LET( _xlpm.n, _xlfn.NUMBERVALUE( INDEX( _xlfn.TEXTSPLIT( H51, " " ), 1 )), _xlpm.n )</f>
        <v>3</v>
      </c>
      <c r="J51" cm="1">
        <f t="array" ref="J51">INDEX( {0.041667,1,7,30.417,365}, $G51)</f>
        <v>1</v>
      </c>
      <c r="K51">
        <f t="shared" si="33"/>
        <v>3</v>
      </c>
      <c r="L51" s="1">
        <f t="shared" si="35"/>
        <v>3</v>
      </c>
      <c r="P51" t="str">
        <v>1 w</v>
      </c>
    </row>
    <row r="52" spans="1:16" x14ac:dyDescent="0.3">
      <c r="B52">
        <f t="shared" si="34"/>
        <v>191.99999999999991</v>
      </c>
      <c r="C52" s="2">
        <f t="shared" si="29"/>
        <v>7.9999999999999964</v>
      </c>
      <c r="D52" s="2">
        <f t="shared" si="30"/>
        <v>1.1428571428571423</v>
      </c>
      <c r="E52" s="2">
        <f t="shared" si="31"/>
        <v>0.26301369863013685</v>
      </c>
      <c r="F52" s="2">
        <f t="shared" si="32"/>
        <v>2.1917808219178072E-2</v>
      </c>
      <c r="G52">
        <f>_xlfn.LET( _xlpm.val, _xlfn.MINIFS(B52:F52, B52:F52, "&gt;=" &amp; thresh), MATCH( _xlpm.val, B52:F52, 0 ) )</f>
        <v>3</v>
      </c>
      <c r="H52" s="1" t="str" cm="1">
        <f t="array" ref="H52">TEXT( INDEX(B52:F52, $G52), "0") &amp; " " &amp; INDEX(B$6:F$6, $G52)</f>
        <v>1 w</v>
      </c>
      <c r="I52" cm="1">
        <f t="array" ref="I52">_xlfn.LET( _xlpm.n, _xlfn.NUMBERVALUE( INDEX( _xlfn.TEXTSPLIT( H52, " " ), 1 )), _xlpm.n )</f>
        <v>1</v>
      </c>
      <c r="J52" cm="1">
        <f t="array" ref="J52">INDEX( {0.041667,1,7,30.417,365}, $G52)</f>
        <v>7</v>
      </c>
      <c r="K52">
        <f t="shared" si="33"/>
        <v>7</v>
      </c>
      <c r="L52" s="1">
        <f t="shared" si="35"/>
        <v>2.3333333333333335</v>
      </c>
      <c r="P52" t="str">
        <v>1 m</v>
      </c>
    </row>
    <row r="53" spans="1:16" x14ac:dyDescent="0.3">
      <c r="B53">
        <f t="shared" si="34"/>
        <v>543.05800795126822</v>
      </c>
      <c r="C53" s="2">
        <f t="shared" si="29"/>
        <v>22.627416997969508</v>
      </c>
      <c r="D53" s="2">
        <f t="shared" si="30"/>
        <v>3.2324881425670724</v>
      </c>
      <c r="E53" s="2">
        <f t="shared" si="31"/>
        <v>0.74391507938529888</v>
      </c>
      <c r="F53" s="2">
        <f t="shared" si="32"/>
        <v>6.1992923282108245E-2</v>
      </c>
      <c r="G53">
        <f>_xlfn.LET( _xlpm.val, _xlfn.MINIFS(B53:F53, B53:F53, "&gt;=" &amp; thresh), MATCH( _xlpm.val, B53:F53, 0 ) )</f>
        <v>4</v>
      </c>
      <c r="H53" s="1" t="str" cm="1">
        <f t="array" ref="H53">TEXT( INDEX(B53:F53, $G53), "0") &amp; " " &amp; INDEX(B$6:F$6, $G53)</f>
        <v>1 m</v>
      </c>
      <c r="I53" cm="1">
        <f t="array" ref="I53">_xlfn.LET( _xlpm.n, _xlfn.NUMBERVALUE( INDEX( _xlfn.TEXTSPLIT( H53, " " ), 1 )), _xlpm.n )</f>
        <v>1</v>
      </c>
      <c r="J53" cm="1">
        <f t="array" ref="J53">INDEX( {0.041667,1,7,30.417,365}, $G53)</f>
        <v>30.417000000000002</v>
      </c>
      <c r="K53">
        <f t="shared" si="33"/>
        <v>30.417000000000002</v>
      </c>
      <c r="L53" s="1">
        <f t="shared" si="35"/>
        <v>4.3452857142857146</v>
      </c>
      <c r="P53" t="str">
        <v>2 m</v>
      </c>
    </row>
    <row r="54" spans="1:16" x14ac:dyDescent="0.3">
      <c r="B54">
        <f t="shared" si="34"/>
        <v>1535.9999999999991</v>
      </c>
      <c r="C54" s="2">
        <f t="shared" si="29"/>
        <v>63.999999999999964</v>
      </c>
      <c r="D54" s="2">
        <f t="shared" si="30"/>
        <v>9.142857142857137</v>
      </c>
      <c r="E54" s="2">
        <f t="shared" si="31"/>
        <v>2.1041095890410948</v>
      </c>
      <c r="F54" s="2">
        <f t="shared" si="32"/>
        <v>0.17534246575342455</v>
      </c>
      <c r="G54">
        <f>_xlfn.LET( _xlpm.val, _xlfn.MINIFS(B54:F54, B54:F54, "&gt;=" &amp; thresh), MATCH( _xlpm.val, B54:F54, 0 ) )</f>
        <v>4</v>
      </c>
      <c r="H54" s="1" t="str" cm="1">
        <f t="array" ref="H54">TEXT( INDEX(B54:F54, $G54), "0") &amp; " " &amp; INDEX(B$6:F$6, $G54)</f>
        <v>2 m</v>
      </c>
      <c r="I54" cm="1">
        <f t="array" ref="I54">_xlfn.LET( _xlpm.n, _xlfn.NUMBERVALUE( INDEX( _xlfn.TEXTSPLIT( H54, " " ), 1 )), _xlpm.n )</f>
        <v>2</v>
      </c>
      <c r="J54" cm="1">
        <f t="array" ref="J54">INDEX( {0.041667,1,7,30.417,365}, $G54)</f>
        <v>30.417000000000002</v>
      </c>
      <c r="K54">
        <f t="shared" si="33"/>
        <v>60.834000000000003</v>
      </c>
      <c r="L54" s="1">
        <f t="shared" si="35"/>
        <v>2</v>
      </c>
      <c r="P54" t="str">
        <v>6 m</v>
      </c>
    </row>
    <row r="55" spans="1:16" x14ac:dyDescent="0.3">
      <c r="B55">
        <f t="shared" si="34"/>
        <v>4344.4640636101449</v>
      </c>
      <c r="C55" s="2">
        <f t="shared" si="29"/>
        <v>181.01933598375604</v>
      </c>
      <c r="D55" s="2">
        <f t="shared" si="30"/>
        <v>25.859905140536576</v>
      </c>
      <c r="E55" s="2">
        <f t="shared" si="31"/>
        <v>5.9513206350823902</v>
      </c>
      <c r="F55" s="2">
        <f t="shared" si="32"/>
        <v>0.49594338625686585</v>
      </c>
      <c r="G55">
        <f>_xlfn.LET( _xlpm.val, _xlfn.MINIFS(B55:F55, B55:F55, "&gt;=" &amp; thresh), MATCH( _xlpm.val, B55:F55, 0 ) )</f>
        <v>4</v>
      </c>
      <c r="H55" s="1" t="str" cm="1">
        <f t="array" ref="H55">TEXT( INDEX(B55:F55, $G55), "0") &amp; " " &amp; INDEX(B$6:F$6, $G55)</f>
        <v>6 m</v>
      </c>
      <c r="I55" cm="1">
        <f t="array" ref="I55">_xlfn.LET( _xlpm.n, _xlfn.NUMBERVALUE( INDEX( _xlfn.TEXTSPLIT( H55, " " ), 1 )), _xlpm.n )</f>
        <v>6</v>
      </c>
      <c r="J55" cm="1">
        <f t="array" ref="J55">INDEX( {0.041667,1,7,30.417,365}, $G55)</f>
        <v>30.417000000000002</v>
      </c>
      <c r="K55">
        <f t="shared" si="33"/>
        <v>182.50200000000001</v>
      </c>
      <c r="L55" s="1">
        <f t="shared" si="35"/>
        <v>3</v>
      </c>
      <c r="P55" t="str">
        <v>1 y</v>
      </c>
    </row>
    <row r="56" spans="1:16" x14ac:dyDescent="0.3">
      <c r="B56">
        <f t="shared" si="34"/>
        <v>12287.999999999991</v>
      </c>
      <c r="C56" s="2">
        <f t="shared" si="29"/>
        <v>511.9999999999996</v>
      </c>
      <c r="D56" s="2">
        <f t="shared" si="30"/>
        <v>73.142857142857082</v>
      </c>
      <c r="E56" s="2">
        <f t="shared" si="31"/>
        <v>16.832876712328755</v>
      </c>
      <c r="F56" s="2">
        <f t="shared" si="32"/>
        <v>1.4027397260273962</v>
      </c>
      <c r="G56">
        <f>_xlfn.LET( _xlpm.val, _xlfn.MINIFS(B56:F56, B56:F56, "&gt;=" &amp; thresh), MATCH( _xlpm.val, B56:F56, 0 ) )</f>
        <v>5</v>
      </c>
      <c r="H56" s="1" t="str" cm="1">
        <f t="array" ref="H56">TEXT( INDEX(B56:F56, $G56), "0") &amp; " " &amp; INDEX(B$6:F$6, $G56)</f>
        <v>1 y</v>
      </c>
      <c r="I56" cm="1">
        <f t="array" ref="I56">_xlfn.LET( _xlpm.n, _xlfn.NUMBERVALUE( INDEX( _xlfn.TEXTSPLIT( H56, " " ), 1 )), _xlpm.n )</f>
        <v>1</v>
      </c>
      <c r="J56" cm="1">
        <f t="array" ref="J56">INDEX( {0.041667,1,7,30.417,365}, $G56)</f>
        <v>365</v>
      </c>
      <c r="K56">
        <f t="shared" si="33"/>
        <v>365</v>
      </c>
      <c r="L56" s="1">
        <f t="shared" si="35"/>
        <v>1.9999780824319733</v>
      </c>
      <c r="P56" t="str">
        <v>4 y</v>
      </c>
    </row>
    <row r="57" spans="1:16" x14ac:dyDescent="0.3">
      <c r="B57">
        <f t="shared" si="34"/>
        <v>34755.712508881152</v>
      </c>
      <c r="C57" s="2">
        <f t="shared" si="29"/>
        <v>1448.1546878700481</v>
      </c>
      <c r="D57" s="2">
        <f t="shared" si="30"/>
        <v>206.87924112429258</v>
      </c>
      <c r="E57" s="2">
        <f t="shared" si="31"/>
        <v>47.610565080659114</v>
      </c>
      <c r="F57" s="2">
        <f t="shared" si="32"/>
        <v>3.9675470900549263</v>
      </c>
      <c r="G57">
        <f>_xlfn.LET( _xlpm.val, _xlfn.MINIFS(B57:F57, B57:F57, "&gt;=" &amp; thresh), MATCH( _xlpm.val, B57:F57, 0 ) )</f>
        <v>5</v>
      </c>
      <c r="H57" s="1" t="str" cm="1">
        <f t="array" ref="H57">TEXT( INDEX(B57:F57, $G57), "0") &amp; " " &amp; INDEX(B$6:F$6, $G57)</f>
        <v>4 y</v>
      </c>
      <c r="I57" cm="1">
        <f t="array" ref="I57">_xlfn.LET( _xlpm.n, _xlfn.NUMBERVALUE( INDEX( _xlfn.TEXTSPLIT( H57, " " ), 1 )), _xlpm.n )</f>
        <v>4</v>
      </c>
      <c r="J57" cm="1">
        <f t="array" ref="J57">INDEX( {0.041667,1,7,30.417,365}, $G57)</f>
        <v>365</v>
      </c>
      <c r="K57">
        <f t="shared" si="33"/>
        <v>1460</v>
      </c>
      <c r="L57" s="1">
        <f t="shared" si="35"/>
        <v>4</v>
      </c>
      <c r="P57" t="str">
        <v>11 y</v>
      </c>
    </row>
    <row r="58" spans="1:16" x14ac:dyDescent="0.3">
      <c r="B58">
        <f t="shared" si="34"/>
        <v>98303.999999999898</v>
      </c>
      <c r="C58" s="2">
        <f t="shared" si="29"/>
        <v>4095.9999999999959</v>
      </c>
      <c r="D58" s="2">
        <f t="shared" si="30"/>
        <v>585.14285714285654</v>
      </c>
      <c r="E58" s="2">
        <f t="shared" si="31"/>
        <v>134.66301369863001</v>
      </c>
      <c r="F58" s="2">
        <f t="shared" si="32"/>
        <v>11.221917808219168</v>
      </c>
      <c r="G58">
        <f>_xlfn.LET( _xlpm.val, _xlfn.MINIFS(B58:F58, B58:F58, "&gt;=" &amp; thresh), MATCH( _xlpm.val, B58:F58, 0 ) )</f>
        <v>5</v>
      </c>
      <c r="H58" s="1" t="str" cm="1">
        <f t="array" ref="H58">TEXT( INDEX(B58:F58, $G58), "0") &amp; " " &amp; INDEX(B$6:F$6, $G58)</f>
        <v>11 y</v>
      </c>
      <c r="I58" cm="1">
        <f t="array" ref="I58">_xlfn.LET( _xlpm.n, _xlfn.NUMBERVALUE( INDEX( _xlfn.TEXTSPLIT( H58, " " ), 1 )), _xlpm.n )</f>
        <v>11</v>
      </c>
      <c r="J58" cm="1">
        <f t="array" ref="J58">INDEX( {0.041667,1,7,30.417,365}, $G58)</f>
        <v>365</v>
      </c>
      <c r="K58">
        <f t="shared" si="33"/>
        <v>4015</v>
      </c>
      <c r="L58" s="1">
        <f t="shared" si="35"/>
        <v>2.75</v>
      </c>
    </row>
    <row r="59" spans="1:16" x14ac:dyDescent="0.3">
      <c r="C59" s="2"/>
      <c r="D59" s="2"/>
      <c r="E59" s="2"/>
      <c r="F59" s="2"/>
      <c r="H59" s="1"/>
    </row>
    <row r="60" spans="1:16" x14ac:dyDescent="0.3">
      <c r="C60" s="2"/>
      <c r="D60" s="2"/>
      <c r="E60" s="2"/>
      <c r="F60" s="2"/>
    </row>
    <row r="62" spans="1:16" x14ac:dyDescent="0.3">
      <c r="A62" t="s">
        <v>5</v>
      </c>
      <c r="B62">
        <f>2^1.75</f>
        <v>3.363585661014858</v>
      </c>
      <c r="O62" t="s">
        <v>12</v>
      </c>
      <c r="P62">
        <f>B62</f>
        <v>3.363585661014858</v>
      </c>
    </row>
    <row r="63" spans="1:16" x14ac:dyDescent="0.3">
      <c r="P63" s="5" t="s">
        <v>15</v>
      </c>
    </row>
    <row r="64" spans="1:16" x14ac:dyDescent="0.3">
      <c r="B64" t="s">
        <v>0</v>
      </c>
      <c r="C64" t="s">
        <v>2</v>
      </c>
      <c r="D64" t="s">
        <v>3</v>
      </c>
      <c r="E64" t="s">
        <v>1</v>
      </c>
      <c r="F64" t="s">
        <v>4</v>
      </c>
      <c r="G64" t="s">
        <v>6</v>
      </c>
      <c r="H64" t="s">
        <v>7</v>
      </c>
      <c r="I64" t="s">
        <v>8</v>
      </c>
      <c r="J64" t="s">
        <v>9</v>
      </c>
      <c r="K64" t="s">
        <v>2</v>
      </c>
      <c r="L64" t="s">
        <v>10</v>
      </c>
      <c r="O64" t="s">
        <v>13</v>
      </c>
      <c r="P64" s="1" t="str" cm="1">
        <f t="array" ref="P64:P73">H65:H74</f>
        <v>3 h</v>
      </c>
    </row>
    <row r="65" spans="1:16" x14ac:dyDescent="0.3">
      <c r="B65" s="3">
        <v>3</v>
      </c>
      <c r="C65" s="2">
        <f>B65 / 24</f>
        <v>0.125</v>
      </c>
      <c r="D65" s="2">
        <f>C65 / 7</f>
        <v>1.7857142857142856E-2</v>
      </c>
      <c r="E65" s="2">
        <f>C65 / (365/12)</f>
        <v>4.10958904109589E-3</v>
      </c>
      <c r="F65" s="2">
        <f>C65 / 365</f>
        <v>3.4246575342465754E-4</v>
      </c>
      <c r="G65">
        <f>_xlfn.LET( _xlpm.val, _xlfn.MINIFS(B65:F65, B65:F65, "&gt;=" &amp; thresh), MATCH( _xlpm.val, B65:F65, 0 ) )</f>
        <v>1</v>
      </c>
      <c r="H65" s="1" t="str" cm="1">
        <f t="array" ref="H65">TEXT( INDEX(B65:F65, $G65), "0") &amp; " " &amp; INDEX(B$6:F$6, $G65)</f>
        <v>3 h</v>
      </c>
      <c r="I65" cm="1">
        <f t="array" ref="I65">_xlfn.LET( _xlpm.n, _xlfn.NUMBERVALUE( INDEX( _xlfn.TEXTSPLIT( H65, " " ), 1 )), _xlpm.n )</f>
        <v>3</v>
      </c>
      <c r="J65" cm="1">
        <f t="array" ref="J65">INDEX( {0.041667,1,7,30.417,365}, $G65)</f>
        <v>4.1667000000000003E-2</v>
      </c>
      <c r="K65">
        <f>J65 * I65</f>
        <v>0.125001</v>
      </c>
      <c r="L65" s="1"/>
      <c r="M65" s="4">
        <f>(M67/M66)</f>
        <v>2.0833500000000003</v>
      </c>
      <c r="P65" t="str">
        <v>10 h</v>
      </c>
    </row>
    <row r="66" spans="1:16" x14ac:dyDescent="0.3">
      <c r="B66">
        <f>B65*B$62</f>
        <v>10.090756983044574</v>
      </c>
      <c r="C66" s="2">
        <f t="shared" ref="C66:C74" si="36">B66 / 24</f>
        <v>0.42044820762685725</v>
      </c>
      <c r="D66" s="2">
        <f t="shared" ref="D66:D74" si="37">C66 / 7</f>
        <v>6.0064029660979609E-2</v>
      </c>
      <c r="E66" s="2">
        <f t="shared" ref="E66:E72" si="38">C66 / (365/12)</f>
        <v>1.3822954771293937E-2</v>
      </c>
      <c r="F66" s="2">
        <f t="shared" ref="F66:F72" si="39">C66 / 365</f>
        <v>1.1519128976078281E-3</v>
      </c>
      <c r="G66">
        <f>_xlfn.LET( _xlpm.val, _xlfn.MINIFS(B66:F66, B66:F66, "&gt;=" &amp; thresh), MATCH( _xlpm.val, B66:F66, 0 ) )</f>
        <v>1</v>
      </c>
      <c r="H66" s="1" t="str" cm="1">
        <f t="array" ref="H66">TEXT( INDEX(B66:F66, $G66), "0") &amp; " " &amp; INDEX(B$6:F$6, $G66)</f>
        <v>10 h</v>
      </c>
      <c r="I66" cm="1">
        <f t="array" ref="I66">_xlfn.LET( _xlpm.n, _xlfn.NUMBERVALUE( INDEX( _xlfn.TEXTSPLIT( H66, " " ), 1 )), _xlpm.n )</f>
        <v>10</v>
      </c>
      <c r="J66" cm="1">
        <f t="array" ref="J66">INDEX( {0.041667,1,7,30.417,365}, $G66)</f>
        <v>4.1667000000000003E-2</v>
      </c>
      <c r="K66">
        <f t="shared" ref="K66:K72" si="40">J66 * I66</f>
        <v>0.41667000000000004</v>
      </c>
      <c r="L66" s="1">
        <f>K66/K65</f>
        <v>3.3333333333333335</v>
      </c>
      <c r="M66" s="1">
        <f>MIN(L66:L74)</f>
        <v>2.3999808001535987</v>
      </c>
      <c r="P66" t="str">
        <v>1 d</v>
      </c>
    </row>
    <row r="67" spans="1:16" x14ac:dyDescent="0.3">
      <c r="B67">
        <f>B66*B$62</f>
        <v>33.941125496954278</v>
      </c>
      <c r="C67" s="2">
        <f t="shared" si="36"/>
        <v>1.4142135623730949</v>
      </c>
      <c r="D67" s="2">
        <f t="shared" si="37"/>
        <v>0.20203050891044214</v>
      </c>
      <c r="E67" s="2">
        <f t="shared" si="38"/>
        <v>4.6494692461581201E-2</v>
      </c>
      <c r="F67" s="2">
        <f t="shared" si="39"/>
        <v>3.874557705131767E-3</v>
      </c>
      <c r="G67">
        <f>_xlfn.LET( _xlpm.val, _xlfn.MINIFS(B67:F67, B67:F67, "&gt;=" &amp; thresh), MATCH( _xlpm.val, B67:F67, 0 ) )</f>
        <v>2</v>
      </c>
      <c r="H67" s="1" t="str" cm="1">
        <f t="array" ref="H67">TEXT( INDEX(B67:F67, $G67), "0") &amp; " " &amp; INDEX(B$6:F$6, $G67)</f>
        <v>1 d</v>
      </c>
      <c r="I67" cm="1">
        <f t="array" ref="I67">_xlfn.LET( _xlpm.n, _xlfn.NUMBERVALUE( INDEX( _xlfn.TEXTSPLIT( H67, " " ), 1 )), _xlpm.n )</f>
        <v>1</v>
      </c>
      <c r="J67" cm="1">
        <f t="array" ref="J67">INDEX( {0.041667,1,7,30.417,365}, $G67)</f>
        <v>1</v>
      </c>
      <c r="K67">
        <f t="shared" si="40"/>
        <v>1</v>
      </c>
      <c r="L67" s="1">
        <f t="shared" ref="L67:L74" si="41">K67/K66</f>
        <v>2.3999808001535987</v>
      </c>
      <c r="M67" s="1">
        <f>MAX(L66:L74)</f>
        <v>5</v>
      </c>
      <c r="P67" t="str">
        <v>5 d</v>
      </c>
    </row>
    <row r="68" spans="1:16" x14ac:dyDescent="0.3">
      <c r="B68">
        <f>B67*B$62</f>
        <v>114.16388304026121</v>
      </c>
      <c r="C68" s="2">
        <f t="shared" si="36"/>
        <v>4.7568284600108841</v>
      </c>
      <c r="D68" s="2">
        <f t="shared" si="37"/>
        <v>0.67954692285869778</v>
      </c>
      <c r="E68" s="2">
        <f t="shared" si="38"/>
        <v>0.15638888087707015</v>
      </c>
      <c r="F68" s="2">
        <f t="shared" si="39"/>
        <v>1.3032406739755847E-2</v>
      </c>
      <c r="G68">
        <f>_xlfn.LET( _xlpm.val, _xlfn.MINIFS(B68:F68, B68:F68, "&gt;=" &amp; thresh), MATCH( _xlpm.val, B68:F68, 0 ) )</f>
        <v>2</v>
      </c>
      <c r="H68" s="1" t="str" cm="1">
        <f t="array" ref="H68">TEXT( INDEX(B68:F68, $G68), "0") &amp; " " &amp; INDEX(B$6:F$6, $G68)</f>
        <v>5 d</v>
      </c>
      <c r="I68" cm="1">
        <f t="array" ref="I68">_xlfn.LET( _xlpm.n, _xlfn.NUMBERVALUE( INDEX( _xlfn.TEXTSPLIT( H68, " " ), 1 )), _xlpm.n )</f>
        <v>5</v>
      </c>
      <c r="J68" cm="1">
        <f t="array" ref="J68">INDEX( {0.041667,1,7,30.417,365}, $G68)</f>
        <v>1</v>
      </c>
      <c r="K68">
        <f t="shared" si="40"/>
        <v>5</v>
      </c>
      <c r="L68" s="1">
        <f t="shared" si="41"/>
        <v>5</v>
      </c>
      <c r="P68" t="str">
        <v>2 w</v>
      </c>
    </row>
    <row r="69" spans="1:16" x14ac:dyDescent="0.3">
      <c r="B69">
        <f>B68*B$62</f>
        <v>383.99999999999994</v>
      </c>
      <c r="C69" s="2">
        <f t="shared" si="36"/>
        <v>15.999999999999998</v>
      </c>
      <c r="D69" s="2">
        <f t="shared" si="37"/>
        <v>2.2857142857142856</v>
      </c>
      <c r="E69" s="2">
        <f t="shared" si="38"/>
        <v>0.52602739726027392</v>
      </c>
      <c r="F69" s="2">
        <f t="shared" si="39"/>
        <v>4.3835616438356158E-2</v>
      </c>
      <c r="G69">
        <f>_xlfn.LET( _xlpm.val, _xlfn.MINIFS(B69:F69, B69:F69, "&gt;=" &amp; thresh), MATCH( _xlpm.val, B69:F69, 0 ) )</f>
        <v>3</v>
      </c>
      <c r="H69" s="1" t="str" cm="1">
        <f t="array" ref="H69">TEXT( INDEX(B69:F69, $G69), "0") &amp; " " &amp; INDEX(B$6:F$6, $G69)</f>
        <v>2 w</v>
      </c>
      <c r="I69" cm="1">
        <f t="array" ref="I69">_xlfn.LET( _xlpm.n, _xlfn.NUMBERVALUE( INDEX( _xlfn.TEXTSPLIT( H69, " " ), 1 )), _xlpm.n )</f>
        <v>2</v>
      </c>
      <c r="J69" cm="1">
        <f t="array" ref="J69">INDEX( {0.041667,1,7,30.417,365}, $G69)</f>
        <v>7</v>
      </c>
      <c r="K69">
        <f t="shared" si="40"/>
        <v>14</v>
      </c>
      <c r="L69" s="1">
        <f t="shared" si="41"/>
        <v>2.8</v>
      </c>
      <c r="P69" t="str">
        <v>2 m</v>
      </c>
    </row>
    <row r="70" spans="1:16" x14ac:dyDescent="0.3">
      <c r="B70">
        <f>B69*B$62</f>
        <v>1291.6168938297053</v>
      </c>
      <c r="C70" s="2">
        <f t="shared" si="36"/>
        <v>53.817370576237721</v>
      </c>
      <c r="D70" s="2">
        <f t="shared" si="37"/>
        <v>7.6881957966053891</v>
      </c>
      <c r="E70" s="2">
        <f t="shared" si="38"/>
        <v>1.7693382107256237</v>
      </c>
      <c r="F70" s="2">
        <f t="shared" si="39"/>
        <v>0.14744485089380197</v>
      </c>
      <c r="G70">
        <f>_xlfn.LET( _xlpm.val, _xlfn.MINIFS(B70:F70, B70:F70, "&gt;=" &amp; thresh), MATCH( _xlpm.val, B70:F70, 0 ) )</f>
        <v>4</v>
      </c>
      <c r="H70" s="1" t="str" cm="1">
        <f t="array" ref="H70">TEXT( INDEX(B70:F70, $G70), "0") &amp; " " &amp; INDEX(B$6:F$6, $G70)</f>
        <v>2 m</v>
      </c>
      <c r="I70" cm="1">
        <f t="array" ref="I70">_xlfn.LET( _xlpm.n, _xlfn.NUMBERVALUE( INDEX( _xlfn.TEXTSPLIT( H70, " " ), 1 )), _xlpm.n )</f>
        <v>2</v>
      </c>
      <c r="J70" cm="1">
        <f t="array" ref="J70">INDEX( {0.041667,1,7,30.417,365}, $G70)</f>
        <v>30.417000000000002</v>
      </c>
      <c r="K70">
        <f t="shared" si="40"/>
        <v>60.834000000000003</v>
      </c>
      <c r="L70" s="1">
        <f t="shared" si="41"/>
        <v>4.3452857142857146</v>
      </c>
      <c r="P70" t="str">
        <v>6 m</v>
      </c>
    </row>
    <row r="71" spans="1:16" x14ac:dyDescent="0.3">
      <c r="B71">
        <f>B70*B$62</f>
        <v>4344.4640636101467</v>
      </c>
      <c r="C71" s="2">
        <f t="shared" si="36"/>
        <v>181.01933598375612</v>
      </c>
      <c r="D71" s="2">
        <f t="shared" si="37"/>
        <v>25.85990514053659</v>
      </c>
      <c r="E71" s="2">
        <f t="shared" si="38"/>
        <v>5.9513206350823928</v>
      </c>
      <c r="F71" s="2">
        <f t="shared" si="39"/>
        <v>0.49594338625686607</v>
      </c>
      <c r="G71">
        <f>_xlfn.LET( _xlpm.val, _xlfn.MINIFS(B71:F71, B71:F71, "&gt;=" &amp; thresh), MATCH( _xlpm.val, B71:F71, 0 ) )</f>
        <v>4</v>
      </c>
      <c r="H71" s="1" t="str" cm="1">
        <f t="array" ref="H71">TEXT( INDEX(B71:F71, $G71), "0") &amp; " " &amp; INDEX(B$6:F$6, $G71)</f>
        <v>6 m</v>
      </c>
      <c r="I71" cm="1">
        <f t="array" ref="I71">_xlfn.LET( _xlpm.n, _xlfn.NUMBERVALUE( INDEX( _xlfn.TEXTSPLIT( H71, " " ), 1 )), _xlpm.n )</f>
        <v>6</v>
      </c>
      <c r="J71" cm="1">
        <f t="array" ref="J71">INDEX( {0.041667,1,7,30.417,365}, $G71)</f>
        <v>30.417000000000002</v>
      </c>
      <c r="K71">
        <f t="shared" si="40"/>
        <v>182.50200000000001</v>
      </c>
      <c r="L71" s="1">
        <f t="shared" si="41"/>
        <v>3</v>
      </c>
      <c r="P71" t="str">
        <v>2 y</v>
      </c>
    </row>
    <row r="72" spans="1:16" x14ac:dyDescent="0.3">
      <c r="B72">
        <f>B71*B$62</f>
        <v>14612.977029153431</v>
      </c>
      <c r="C72" s="2">
        <f t="shared" si="36"/>
        <v>608.87404288139294</v>
      </c>
      <c r="D72" s="2">
        <f t="shared" si="37"/>
        <v>86.982006125913273</v>
      </c>
      <c r="E72" s="2">
        <f t="shared" si="38"/>
        <v>20.017776752264972</v>
      </c>
      <c r="F72" s="2">
        <f t="shared" si="39"/>
        <v>1.6681480626887477</v>
      </c>
      <c r="G72">
        <f>_xlfn.LET( _xlpm.val, _xlfn.MINIFS(B72:F72, B72:F72, "&gt;=" &amp; thresh), MATCH( _xlpm.val, B72:F72, 0 ) )</f>
        <v>5</v>
      </c>
      <c r="H72" s="1" t="str" cm="1">
        <f t="array" ref="H72">TEXT( INDEX(B72:F72, $G72), "0") &amp; " " &amp; INDEX(B$6:F$6, $G72)</f>
        <v>2 y</v>
      </c>
      <c r="I72" cm="1">
        <f t="array" ref="I72">_xlfn.LET( _xlpm.n, _xlfn.NUMBERVALUE( INDEX( _xlfn.TEXTSPLIT( H72, " " ), 1 )), _xlpm.n )</f>
        <v>2</v>
      </c>
      <c r="J72" cm="1">
        <f t="array" ref="J72">INDEX( {0.041667,1,7,30.417,365}, $G72)</f>
        <v>365</v>
      </c>
      <c r="K72">
        <f t="shared" si="40"/>
        <v>730</v>
      </c>
      <c r="L72" s="1">
        <f t="shared" si="41"/>
        <v>3.9999561648639466</v>
      </c>
      <c r="P72" t="str">
        <v>6 y</v>
      </c>
    </row>
    <row r="73" spans="1:16" x14ac:dyDescent="0.3">
      <c r="B73">
        <f t="shared" ref="B73:B74" si="42">B72*B$62</f>
        <v>49151.999999999978</v>
      </c>
      <c r="C73" s="2">
        <f t="shared" si="36"/>
        <v>2047.9999999999991</v>
      </c>
      <c r="D73" s="2">
        <f t="shared" si="37"/>
        <v>292.57142857142844</v>
      </c>
      <c r="E73" s="2">
        <f t="shared" ref="E73:E74" si="43">C73 / (365/12)</f>
        <v>67.331506849315033</v>
      </c>
      <c r="F73" s="2">
        <f t="shared" ref="F73:F74" si="44">C73 / 365</f>
        <v>5.6109589041095864</v>
      </c>
      <c r="G73">
        <f>_xlfn.LET( _xlpm.val, _xlfn.MINIFS(B73:F73, B73:F73, "&gt;=" &amp; thresh), MATCH( _xlpm.val, B73:F73, 0 ) )</f>
        <v>5</v>
      </c>
      <c r="H73" s="1" t="str" cm="1">
        <f t="array" ref="H73">TEXT( INDEX(B73:F73, $G73), "0") &amp; " " &amp; INDEX(B$6:F$6, $G73)</f>
        <v>6 y</v>
      </c>
      <c r="I73" cm="1">
        <f t="array" ref="I73">_xlfn.LET( _xlpm.n, _xlfn.NUMBERVALUE( INDEX( _xlfn.TEXTSPLIT( H73, " " ), 1 )), _xlpm.n )</f>
        <v>6</v>
      </c>
      <c r="J73" cm="1">
        <f t="array" ref="J73">INDEX( {0.041667,1,7,30.417,365}, $G73)</f>
        <v>365</v>
      </c>
      <c r="K73">
        <f t="shared" ref="K73:K74" si="45">J73 * I73</f>
        <v>2190</v>
      </c>
      <c r="L73" s="1">
        <f t="shared" si="41"/>
        <v>3</v>
      </c>
      <c r="P73" t="str">
        <v>19 y</v>
      </c>
    </row>
    <row r="74" spans="1:16" x14ac:dyDescent="0.3">
      <c r="B74">
        <f t="shared" si="42"/>
        <v>165326.96241020222</v>
      </c>
      <c r="C74" s="2">
        <f t="shared" si="36"/>
        <v>6888.6234337584256</v>
      </c>
      <c r="D74" s="2">
        <f t="shared" si="37"/>
        <v>984.08906196548935</v>
      </c>
      <c r="E74" s="2">
        <f t="shared" si="43"/>
        <v>226.47529097287975</v>
      </c>
      <c r="F74" s="2">
        <f t="shared" si="44"/>
        <v>18.872940914406644</v>
      </c>
      <c r="G74">
        <f>_xlfn.LET( _xlpm.val, _xlfn.MINIFS(B74:F74, B74:F74, "&gt;=" &amp; thresh), MATCH( _xlpm.val, B74:F74, 0 ) )</f>
        <v>5</v>
      </c>
      <c r="H74" s="1" t="str" cm="1">
        <f t="array" ref="H74">TEXT( INDEX(B74:F74, $G74), "0") &amp; " " &amp; INDEX(B$6:F$6, $G74)</f>
        <v>19 y</v>
      </c>
      <c r="I74" cm="1">
        <f t="array" ref="I74">_xlfn.LET( _xlpm.n, _xlfn.NUMBERVALUE( INDEX( _xlfn.TEXTSPLIT( H74, " " ), 1 )), _xlpm.n )</f>
        <v>19</v>
      </c>
      <c r="J74" cm="1">
        <f t="array" ref="J74">INDEX( {0.041667,1,7,30.417,365}, $G74)</f>
        <v>365</v>
      </c>
      <c r="K74">
        <f t="shared" si="45"/>
        <v>6935</v>
      </c>
      <c r="L74" s="1">
        <f t="shared" si="41"/>
        <v>3.1666666666666665</v>
      </c>
    </row>
    <row r="75" spans="1:16" x14ac:dyDescent="0.3">
      <c r="C75" s="2"/>
      <c r="D75" s="2"/>
      <c r="E75" s="2"/>
      <c r="F75" s="2"/>
      <c r="H75" s="1"/>
      <c r="L75" s="1"/>
    </row>
    <row r="76" spans="1:16" x14ac:dyDescent="0.3">
      <c r="C76" s="2"/>
      <c r="D76" s="2"/>
      <c r="E76" s="2"/>
      <c r="F76" s="2"/>
      <c r="H76" s="1"/>
      <c r="L76" s="1"/>
    </row>
    <row r="78" spans="1:16" x14ac:dyDescent="0.3">
      <c r="A78" t="s">
        <v>5</v>
      </c>
      <c r="B78">
        <f>2^2</f>
        <v>4</v>
      </c>
      <c r="O78" t="s">
        <v>12</v>
      </c>
      <c r="P78">
        <f>B78</f>
        <v>4</v>
      </c>
    </row>
    <row r="79" spans="1:16" x14ac:dyDescent="0.3">
      <c r="P79" s="5" t="s">
        <v>14</v>
      </c>
    </row>
    <row r="80" spans="1:16" x14ac:dyDescent="0.3">
      <c r="B80" t="s">
        <v>0</v>
      </c>
      <c r="C80" t="s">
        <v>2</v>
      </c>
      <c r="D80" t="s">
        <v>3</v>
      </c>
      <c r="E80" t="s">
        <v>1</v>
      </c>
      <c r="F80" t="s">
        <v>4</v>
      </c>
      <c r="G80" t="s">
        <v>6</v>
      </c>
      <c r="H80" t="s">
        <v>7</v>
      </c>
      <c r="I80" t="s">
        <v>8</v>
      </c>
      <c r="J80" t="s">
        <v>9</v>
      </c>
      <c r="K80" t="s">
        <v>2</v>
      </c>
      <c r="L80" t="s">
        <v>10</v>
      </c>
      <c r="O80" t="s">
        <v>13</v>
      </c>
      <c r="P80" s="1" t="str" cm="1">
        <f t="array" ref="P80:P88">H81:H89</f>
        <v>3 h</v>
      </c>
    </row>
    <row r="81" spans="2:16" x14ac:dyDescent="0.3">
      <c r="B81" s="3">
        <v>3</v>
      </c>
      <c r="C81" s="2">
        <f>B81 / 24</f>
        <v>0.125</v>
      </c>
      <c r="D81" s="2">
        <f>C81 / 7</f>
        <v>1.7857142857142856E-2</v>
      </c>
      <c r="E81" s="2">
        <f>C81 / (365/12)</f>
        <v>4.10958904109589E-3</v>
      </c>
      <c r="F81" s="2">
        <f>C81 / 365</f>
        <v>3.4246575342465754E-4</v>
      </c>
      <c r="G81">
        <f>_xlfn.LET( _xlpm.val, _xlfn.MINIFS(B81:F81, B81:F81, "&gt;=" &amp; thresh), MATCH( _xlpm.val, B81:F81, 0 ) )</f>
        <v>1</v>
      </c>
      <c r="H81" s="1" t="str" cm="1">
        <f t="array" ref="H81">TEXT( INDEX(B81:F81, $G81), "0") &amp; " " &amp; INDEX(B$6:F$6, $G81)</f>
        <v>3 h</v>
      </c>
      <c r="I81" cm="1">
        <f t="array" ref="I81">_xlfn.LET( _xlpm.n, _xlfn.NUMBERVALUE( INDEX( _xlfn.TEXTSPLIT( H81, " " ), 1 )), _xlpm.n )</f>
        <v>3</v>
      </c>
      <c r="J81" cm="1">
        <f t="array" ref="J81">INDEX( {0.041667,1,7,30.417,365}, $G81)</f>
        <v>4.1667000000000003E-2</v>
      </c>
      <c r="K81">
        <f>J81 * I81</f>
        <v>0.125001</v>
      </c>
      <c r="L81" s="1"/>
      <c r="M81" s="4">
        <f>(M83/M82)</f>
        <v>2.0000219178082195</v>
      </c>
      <c r="P81" t="str">
        <v>12 h</v>
      </c>
    </row>
    <row r="82" spans="2:16" x14ac:dyDescent="0.3">
      <c r="B82">
        <f>B81*B$78</f>
        <v>12</v>
      </c>
      <c r="C82" s="2">
        <f t="shared" ref="C82:C89" si="46">B82 / 24</f>
        <v>0.5</v>
      </c>
      <c r="D82" s="2">
        <f t="shared" ref="D82:D89" si="47">C82 / 7</f>
        <v>7.1428571428571425E-2</v>
      </c>
      <c r="E82" s="2">
        <f t="shared" ref="E82:E89" si="48">C82 / (365/12)</f>
        <v>1.643835616438356E-2</v>
      </c>
      <c r="F82" s="2">
        <f t="shared" ref="F82:F89" si="49">C82 / 365</f>
        <v>1.3698630136986301E-3</v>
      </c>
      <c r="G82">
        <f>_xlfn.LET( _xlpm.val, _xlfn.MINIFS(B82:F82, B82:F82, "&gt;=" &amp; thresh), MATCH( _xlpm.val, B82:F82, 0 ) )</f>
        <v>1</v>
      </c>
      <c r="H82" s="1" t="str" cm="1">
        <f t="array" ref="H82">TEXT( INDEX(B82:F82, $G82), "0") &amp; " " &amp; INDEX(B$6:F$6, $G82)</f>
        <v>12 h</v>
      </c>
      <c r="I82" cm="1">
        <f t="array" ref="I82">_xlfn.LET( _xlpm.n, _xlfn.NUMBERVALUE( INDEX( _xlfn.TEXTSPLIT( H82, " " ), 1 )), _xlpm.n )</f>
        <v>12</v>
      </c>
      <c r="J82" cm="1">
        <f t="array" ref="J82">INDEX( {0.041667,1,7,30.417,365}, $G82)</f>
        <v>4.1667000000000003E-2</v>
      </c>
      <c r="K82">
        <f t="shared" ref="K82:K89" si="50">J82 * I82</f>
        <v>0.500004</v>
      </c>
      <c r="L82" s="1">
        <f>K82/K81</f>
        <v>4</v>
      </c>
      <c r="M82" s="1">
        <f>MIN(L82:L89)</f>
        <v>2.9999671236479597</v>
      </c>
      <c r="P82" t="str">
        <v>2 d</v>
      </c>
    </row>
    <row r="83" spans="2:16" x14ac:dyDescent="0.3">
      <c r="B83">
        <f t="shared" ref="B83:B89" si="51">B82*B$78</f>
        <v>48</v>
      </c>
      <c r="C83" s="2">
        <f t="shared" si="46"/>
        <v>2</v>
      </c>
      <c r="D83" s="2">
        <f t="shared" si="47"/>
        <v>0.2857142857142857</v>
      </c>
      <c r="E83" s="2">
        <f t="shared" si="48"/>
        <v>6.575342465753424E-2</v>
      </c>
      <c r="F83" s="2">
        <f t="shared" si="49"/>
        <v>5.4794520547945206E-3</v>
      </c>
      <c r="G83">
        <f>_xlfn.LET( _xlpm.val, _xlfn.MINIFS(B83:F83, B83:F83, "&gt;=" &amp; thresh), MATCH( _xlpm.val, B83:F83, 0 ) )</f>
        <v>2</v>
      </c>
      <c r="H83" s="1" t="str" cm="1">
        <f t="array" ref="H83">TEXT( INDEX(B83:F83, $G83), "0") &amp; " " &amp; INDEX(B$6:F$6, $G83)</f>
        <v>2 d</v>
      </c>
      <c r="I83" cm="1">
        <f t="array" ref="I83">_xlfn.LET( _xlpm.n, _xlfn.NUMBERVALUE( INDEX( _xlfn.TEXTSPLIT( H83, " " ), 1 )), _xlpm.n )</f>
        <v>2</v>
      </c>
      <c r="J83" cm="1">
        <f t="array" ref="J83">INDEX( {0.041667,1,7,30.417,365}, $G83)</f>
        <v>1</v>
      </c>
      <c r="K83">
        <f t="shared" si="50"/>
        <v>2</v>
      </c>
      <c r="L83" s="1">
        <f t="shared" ref="L83:L89" si="52">K83/K82</f>
        <v>3.9999680002559979</v>
      </c>
      <c r="M83" s="1">
        <f>MAX(L82:L89)</f>
        <v>6</v>
      </c>
      <c r="P83" t="str">
        <v>1 w</v>
      </c>
    </row>
    <row r="84" spans="2:16" x14ac:dyDescent="0.3">
      <c r="B84">
        <f t="shared" si="51"/>
        <v>192</v>
      </c>
      <c r="C84" s="2">
        <f t="shared" si="46"/>
        <v>8</v>
      </c>
      <c r="D84" s="2">
        <f t="shared" si="47"/>
        <v>1.1428571428571428</v>
      </c>
      <c r="E84" s="2">
        <f t="shared" si="48"/>
        <v>0.26301369863013696</v>
      </c>
      <c r="F84" s="2">
        <f t="shared" si="49"/>
        <v>2.1917808219178082E-2</v>
      </c>
      <c r="G84">
        <f>_xlfn.LET( _xlpm.val, _xlfn.MINIFS(B84:F84, B84:F84, "&gt;=" &amp; thresh), MATCH( _xlpm.val, B84:F84, 0 ) )</f>
        <v>3</v>
      </c>
      <c r="H84" s="1" t="str" cm="1">
        <f t="array" ref="H84">TEXT( INDEX(B84:F84, $G84), "0") &amp; " " &amp; INDEX(B$6:F$6, $G84)</f>
        <v>1 w</v>
      </c>
      <c r="I84" cm="1">
        <f t="array" ref="I84">_xlfn.LET( _xlpm.n, _xlfn.NUMBERVALUE( INDEX( _xlfn.TEXTSPLIT( H84, " " ), 1 )), _xlpm.n )</f>
        <v>1</v>
      </c>
      <c r="J84" cm="1">
        <f t="array" ref="J84">INDEX( {0.041667,1,7,30.417,365}, $G84)</f>
        <v>7</v>
      </c>
      <c r="K84">
        <f t="shared" si="50"/>
        <v>7</v>
      </c>
      <c r="L84" s="1">
        <f t="shared" si="52"/>
        <v>3.5</v>
      </c>
      <c r="P84" t="str">
        <v>1 m</v>
      </c>
    </row>
    <row r="85" spans="2:16" x14ac:dyDescent="0.3">
      <c r="B85">
        <f t="shared" si="51"/>
        <v>768</v>
      </c>
      <c r="C85" s="2">
        <f t="shared" si="46"/>
        <v>32</v>
      </c>
      <c r="D85" s="2">
        <f t="shared" si="47"/>
        <v>4.5714285714285712</v>
      </c>
      <c r="E85" s="2">
        <f t="shared" si="48"/>
        <v>1.0520547945205478</v>
      </c>
      <c r="F85" s="2">
        <f t="shared" si="49"/>
        <v>8.7671232876712329E-2</v>
      </c>
      <c r="G85">
        <f>_xlfn.LET( _xlpm.val, _xlfn.MINIFS(B85:F85, B85:F85, "&gt;=" &amp; thresh), MATCH( _xlpm.val, B85:F85, 0 ) )</f>
        <v>4</v>
      </c>
      <c r="H85" s="1" t="str" cm="1">
        <f t="array" ref="H85">TEXT( INDEX(B85:F85, $G85), "0") &amp; " " &amp; INDEX(B$6:F$6, $G85)</f>
        <v>1 m</v>
      </c>
      <c r="I85" cm="1">
        <f t="array" ref="I85">_xlfn.LET( _xlpm.n, _xlfn.NUMBERVALUE( INDEX( _xlfn.TEXTSPLIT( H85, " " ), 1 )), _xlpm.n )</f>
        <v>1</v>
      </c>
      <c r="J85" cm="1">
        <f t="array" ref="J85">INDEX( {0.041667,1,7,30.417,365}, $G85)</f>
        <v>30.417000000000002</v>
      </c>
      <c r="K85">
        <f t="shared" si="50"/>
        <v>30.417000000000002</v>
      </c>
      <c r="L85" s="1">
        <f t="shared" si="52"/>
        <v>4.3452857142857146</v>
      </c>
      <c r="P85" t="str">
        <v>4 m</v>
      </c>
    </row>
    <row r="86" spans="2:16" x14ac:dyDescent="0.3">
      <c r="B86">
        <f t="shared" si="51"/>
        <v>3072</v>
      </c>
      <c r="C86" s="2">
        <f t="shared" si="46"/>
        <v>128</v>
      </c>
      <c r="D86" s="2">
        <f t="shared" si="47"/>
        <v>18.285714285714285</v>
      </c>
      <c r="E86" s="2">
        <f t="shared" si="48"/>
        <v>4.2082191780821914</v>
      </c>
      <c r="F86" s="2">
        <f t="shared" si="49"/>
        <v>0.35068493150684932</v>
      </c>
      <c r="G86">
        <f>_xlfn.LET( _xlpm.val, _xlfn.MINIFS(B86:F86, B86:F86, "&gt;=" &amp; thresh), MATCH( _xlpm.val, B86:F86, 0 ) )</f>
        <v>4</v>
      </c>
      <c r="H86" s="1" t="str" cm="1">
        <f t="array" ref="H86">TEXT( INDEX(B86:F86, $G86), "0") &amp; " " &amp; INDEX(B$6:F$6, $G86)</f>
        <v>4 m</v>
      </c>
      <c r="I86" cm="1">
        <f t="array" ref="I86">_xlfn.LET( _xlpm.n, _xlfn.NUMBERVALUE( INDEX( _xlfn.TEXTSPLIT( H86, " " ), 1 )), _xlpm.n )</f>
        <v>4</v>
      </c>
      <c r="J86" cm="1">
        <f t="array" ref="J86">INDEX( {0.041667,1,7,30.417,365}, $G86)</f>
        <v>30.417000000000002</v>
      </c>
      <c r="K86">
        <f t="shared" si="50"/>
        <v>121.66800000000001</v>
      </c>
      <c r="L86" s="1">
        <f t="shared" si="52"/>
        <v>4</v>
      </c>
      <c r="P86" t="str">
        <v>1 y</v>
      </c>
    </row>
    <row r="87" spans="2:16" x14ac:dyDescent="0.3">
      <c r="B87">
        <f t="shared" si="51"/>
        <v>12288</v>
      </c>
      <c r="C87" s="2">
        <f t="shared" si="46"/>
        <v>512</v>
      </c>
      <c r="D87" s="2">
        <f t="shared" si="47"/>
        <v>73.142857142857139</v>
      </c>
      <c r="E87" s="2">
        <f t="shared" si="48"/>
        <v>16.832876712328765</v>
      </c>
      <c r="F87" s="2">
        <f t="shared" si="49"/>
        <v>1.4027397260273973</v>
      </c>
      <c r="G87">
        <f>_xlfn.LET( _xlpm.val, _xlfn.MINIFS(B87:F87, B87:F87, "&gt;=" &amp; thresh), MATCH( _xlpm.val, B87:F87, 0 ) )</f>
        <v>5</v>
      </c>
      <c r="H87" s="1" t="str" cm="1">
        <f t="array" ref="H87">TEXT( INDEX(B87:F87, $G87), "0") &amp; " " &amp; INDEX(B$6:F$6, $G87)</f>
        <v>1 y</v>
      </c>
      <c r="I87" cm="1">
        <f t="array" ref="I87">_xlfn.LET( _xlpm.n, _xlfn.NUMBERVALUE( INDEX( _xlfn.TEXTSPLIT( H87, " " ), 1 )), _xlpm.n )</f>
        <v>1</v>
      </c>
      <c r="J87" cm="1">
        <f t="array" ref="J87">INDEX( {0.041667,1,7,30.417,365}, $G87)</f>
        <v>365</v>
      </c>
      <c r="K87">
        <f t="shared" si="50"/>
        <v>365</v>
      </c>
      <c r="L87" s="1">
        <f t="shared" si="52"/>
        <v>2.9999671236479597</v>
      </c>
      <c r="P87" t="str">
        <v>6 y</v>
      </c>
    </row>
    <row r="88" spans="2:16" x14ac:dyDescent="0.3">
      <c r="B88">
        <f t="shared" si="51"/>
        <v>49152</v>
      </c>
      <c r="C88" s="2">
        <f t="shared" si="46"/>
        <v>2048</v>
      </c>
      <c r="D88" s="2">
        <f t="shared" si="47"/>
        <v>292.57142857142856</v>
      </c>
      <c r="E88" s="2">
        <f t="shared" si="48"/>
        <v>67.331506849315062</v>
      </c>
      <c r="F88" s="2">
        <f t="shared" si="49"/>
        <v>5.6109589041095891</v>
      </c>
      <c r="G88">
        <f>_xlfn.LET( _xlpm.val, _xlfn.MINIFS(B88:F88, B88:F88, "&gt;=" &amp; thresh), MATCH( _xlpm.val, B88:F88, 0 ) )</f>
        <v>5</v>
      </c>
      <c r="H88" s="1" t="str" cm="1">
        <f t="array" ref="H88">TEXT( INDEX(B88:F88, $G88), "0") &amp; " " &amp; INDEX(B$6:F$6, $G88)</f>
        <v>6 y</v>
      </c>
      <c r="I88" cm="1">
        <f t="array" ref="I88">_xlfn.LET( _xlpm.n, _xlfn.NUMBERVALUE( INDEX( _xlfn.TEXTSPLIT( H88, " " ), 1 )), _xlpm.n )</f>
        <v>6</v>
      </c>
      <c r="J88" cm="1">
        <f t="array" ref="J88">INDEX( {0.041667,1,7,30.417,365}, $G88)</f>
        <v>365</v>
      </c>
      <c r="K88">
        <f t="shared" si="50"/>
        <v>2190</v>
      </c>
      <c r="L88" s="1">
        <f t="shared" si="52"/>
        <v>6</v>
      </c>
      <c r="P88" t="str">
        <v>22 y</v>
      </c>
    </row>
    <row r="89" spans="2:16" x14ac:dyDescent="0.3">
      <c r="B89">
        <f t="shared" si="51"/>
        <v>196608</v>
      </c>
      <c r="C89" s="2">
        <f t="shared" si="46"/>
        <v>8192</v>
      </c>
      <c r="D89" s="2">
        <f t="shared" si="47"/>
        <v>1170.2857142857142</v>
      </c>
      <c r="E89" s="2">
        <f t="shared" si="48"/>
        <v>269.32602739726025</v>
      </c>
      <c r="F89" s="2">
        <f t="shared" si="49"/>
        <v>22.443835616438356</v>
      </c>
      <c r="G89">
        <f>_xlfn.LET( _xlpm.val, _xlfn.MINIFS(B89:F89, B89:F89, "&gt;=" &amp; thresh), MATCH( _xlpm.val, B89:F89, 0 ) )</f>
        <v>5</v>
      </c>
      <c r="H89" s="1" t="str" cm="1">
        <f t="array" ref="H89">TEXT( INDEX(B89:F89, $G89), "0") &amp; " " &amp; INDEX(B$6:F$6, $G89)</f>
        <v>22 y</v>
      </c>
      <c r="I89" cm="1">
        <f t="array" ref="I89">_xlfn.LET( _xlpm.n, _xlfn.NUMBERVALUE( INDEX( _xlfn.TEXTSPLIT( H89, " " ), 1 )), _xlpm.n )</f>
        <v>22</v>
      </c>
      <c r="J89" cm="1">
        <f t="array" ref="J89">INDEX( {0.041667,1,7,30.417,365}, $G89)</f>
        <v>365</v>
      </c>
      <c r="K89">
        <f t="shared" si="50"/>
        <v>8030</v>
      </c>
      <c r="L89" s="1">
        <f t="shared" si="52"/>
        <v>3.6666666666666665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thresh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Lock</dc:creator>
  <cp:lastModifiedBy>Josh Lock</cp:lastModifiedBy>
  <dcterms:created xsi:type="dcterms:W3CDTF">2026-09-18T19:49:37Z</dcterms:created>
  <dcterms:modified xsi:type="dcterms:W3CDTF">2026-09-18T20:56:41Z</dcterms:modified>
</cp:coreProperties>
</file>